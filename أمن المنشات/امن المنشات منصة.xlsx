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2654b35189b4f29/Desktop/أمن المنشات/"/>
    </mc:Choice>
  </mc:AlternateContent>
  <xr:revisionPtr revIDLastSave="521" documentId="8_{4DDD3712-7FAA-4F30-AAAE-2E88B4284E4F}" xr6:coauthVersionLast="47" xr6:coauthVersionMax="47" xr10:uidLastSave="{A9D72CA9-925B-4678-AADE-CFB3675857A7}"/>
  <bookViews>
    <workbookView minimized="1" xWindow="9270" yWindow="6255" windowWidth="21600" windowHeight="11295" xr2:uid="{D6053B16-BF1D-4742-A120-FCDC258D57E3}"/>
  </bookViews>
  <sheets>
    <sheet name="جداول الكميات والأسعار" sheetId="1" r:id="rId1"/>
  </sheets>
  <calcPr calcId="191029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0" i="1" l="1"/>
  <c r="I49" i="1"/>
  <c r="I152" i="1"/>
  <c r="I151" i="1"/>
  <c r="I150" i="1"/>
  <c r="I137" i="1"/>
  <c r="I136" i="1"/>
  <c r="I122" i="1"/>
  <c r="I121" i="1"/>
  <c r="I23" i="1"/>
  <c r="I22" i="1"/>
  <c r="I24" i="1"/>
  <c r="I51" i="1"/>
  <c r="I123" i="1"/>
  <c r="H168" i="1" l="1"/>
  <c r="Z147" i="1"/>
  <c r="U147" i="1"/>
  <c r="P147" i="1"/>
  <c r="Z146" i="1"/>
  <c r="U146" i="1"/>
  <c r="P146" i="1"/>
  <c r="Z145" i="1"/>
  <c r="U145" i="1"/>
  <c r="P145" i="1"/>
  <c r="Z133" i="1"/>
  <c r="U133" i="1"/>
  <c r="P133" i="1"/>
  <c r="Z132" i="1"/>
  <c r="U132" i="1"/>
  <c r="P132" i="1"/>
  <c r="Z131" i="1"/>
  <c r="U131" i="1"/>
  <c r="P131" i="1"/>
  <c r="Z130" i="1"/>
  <c r="U130" i="1"/>
  <c r="P130" i="1"/>
  <c r="Q118" i="1"/>
  <c r="L118" i="1"/>
  <c r="G118" i="1"/>
  <c r="Q117" i="1"/>
  <c r="L117" i="1"/>
  <c r="G117" i="1"/>
  <c r="Q116" i="1"/>
  <c r="L116" i="1"/>
  <c r="G116" i="1"/>
  <c r="Q115" i="1"/>
  <c r="L115" i="1"/>
  <c r="G115" i="1"/>
  <c r="Q114" i="1"/>
  <c r="L114" i="1"/>
  <c r="G114" i="1"/>
  <c r="Q113" i="1"/>
  <c r="L113" i="1"/>
  <c r="G113" i="1"/>
  <c r="Q112" i="1"/>
  <c r="L112" i="1"/>
  <c r="G112" i="1"/>
  <c r="Q111" i="1"/>
  <c r="L111" i="1"/>
  <c r="G111" i="1"/>
  <c r="Q110" i="1"/>
  <c r="L110" i="1"/>
  <c r="G110" i="1"/>
  <c r="Q109" i="1"/>
  <c r="L109" i="1"/>
  <c r="G109" i="1"/>
  <c r="Q108" i="1"/>
  <c r="L108" i="1"/>
  <c r="G108" i="1"/>
  <c r="Q107" i="1"/>
  <c r="L107" i="1"/>
  <c r="G107" i="1"/>
  <c r="Q106" i="1"/>
  <c r="L106" i="1"/>
  <c r="G106" i="1"/>
  <c r="Q105" i="1"/>
  <c r="L105" i="1"/>
  <c r="G105" i="1"/>
  <c r="Q104" i="1"/>
  <c r="L104" i="1"/>
  <c r="G104" i="1"/>
  <c r="Q103" i="1"/>
  <c r="L103" i="1"/>
  <c r="G103" i="1"/>
  <c r="Q102" i="1"/>
  <c r="L102" i="1"/>
  <c r="G102" i="1"/>
  <c r="Q101" i="1"/>
  <c r="L101" i="1"/>
  <c r="G101" i="1"/>
  <c r="Q100" i="1"/>
  <c r="L100" i="1"/>
  <c r="G100" i="1"/>
  <c r="Q99" i="1"/>
  <c r="L99" i="1"/>
  <c r="G99" i="1"/>
  <c r="Q98" i="1"/>
  <c r="L98" i="1"/>
  <c r="G98" i="1"/>
  <c r="Q97" i="1"/>
  <c r="L97" i="1"/>
  <c r="G97" i="1"/>
  <c r="Q96" i="1"/>
  <c r="L96" i="1"/>
  <c r="G96" i="1"/>
  <c r="Q95" i="1"/>
  <c r="L95" i="1"/>
  <c r="G95" i="1"/>
  <c r="Q94" i="1"/>
  <c r="L94" i="1"/>
  <c r="G94" i="1"/>
  <c r="Q93" i="1"/>
  <c r="L93" i="1"/>
  <c r="G93" i="1"/>
  <c r="Q92" i="1"/>
  <c r="L92" i="1"/>
  <c r="G92" i="1"/>
  <c r="Q91" i="1"/>
  <c r="L91" i="1"/>
  <c r="G91" i="1"/>
  <c r="Q90" i="1"/>
  <c r="L90" i="1"/>
  <c r="G90" i="1"/>
  <c r="Q89" i="1"/>
  <c r="L89" i="1"/>
  <c r="G89" i="1"/>
  <c r="Q88" i="1"/>
  <c r="L88" i="1"/>
  <c r="G88" i="1"/>
  <c r="Q87" i="1"/>
  <c r="L87" i="1"/>
  <c r="G87" i="1"/>
  <c r="Q86" i="1"/>
  <c r="L86" i="1"/>
  <c r="G86" i="1"/>
  <c r="Q85" i="1"/>
  <c r="L85" i="1"/>
  <c r="G85" i="1"/>
  <c r="Q84" i="1"/>
  <c r="L84" i="1"/>
  <c r="G84" i="1"/>
  <c r="Q83" i="1"/>
  <c r="L83" i="1"/>
  <c r="G83" i="1"/>
  <c r="Q82" i="1"/>
  <c r="L82" i="1"/>
  <c r="G82" i="1"/>
  <c r="Q81" i="1"/>
  <c r="L81" i="1"/>
  <c r="G81" i="1"/>
  <c r="Q80" i="1"/>
  <c r="L80" i="1"/>
  <c r="G80" i="1"/>
  <c r="Q79" i="1"/>
  <c r="L79" i="1"/>
  <c r="G79" i="1"/>
  <c r="Q78" i="1"/>
  <c r="L78" i="1"/>
  <c r="G78" i="1"/>
  <c r="Q77" i="1"/>
  <c r="L77" i="1"/>
  <c r="G77" i="1"/>
  <c r="Q76" i="1"/>
  <c r="L76" i="1"/>
  <c r="G76" i="1"/>
  <c r="Q75" i="1"/>
  <c r="L75" i="1"/>
  <c r="G75" i="1"/>
  <c r="Q74" i="1"/>
  <c r="L74" i="1"/>
  <c r="G74" i="1"/>
  <c r="Q73" i="1"/>
  <c r="L73" i="1"/>
  <c r="G73" i="1"/>
  <c r="Q72" i="1"/>
  <c r="L72" i="1"/>
  <c r="G72" i="1"/>
  <c r="Q71" i="1"/>
  <c r="L71" i="1"/>
  <c r="G71" i="1"/>
  <c r="Q70" i="1"/>
  <c r="L70" i="1"/>
  <c r="G70" i="1"/>
  <c r="Q69" i="1"/>
  <c r="L69" i="1"/>
  <c r="G69" i="1"/>
  <c r="Q68" i="1"/>
  <c r="L68" i="1"/>
  <c r="G68" i="1"/>
  <c r="Q67" i="1"/>
  <c r="L67" i="1"/>
  <c r="G67" i="1"/>
  <c r="Q66" i="1"/>
  <c r="L66" i="1"/>
  <c r="G66" i="1"/>
  <c r="Q65" i="1"/>
  <c r="L65" i="1"/>
  <c r="G65" i="1"/>
  <c r="Q64" i="1"/>
  <c r="L64" i="1"/>
  <c r="G64" i="1"/>
  <c r="Q63" i="1"/>
  <c r="L63" i="1"/>
  <c r="G63" i="1"/>
  <c r="Q62" i="1"/>
  <c r="L62" i="1"/>
  <c r="G62" i="1"/>
  <c r="Q61" i="1"/>
  <c r="L61" i="1"/>
  <c r="G61" i="1"/>
  <c r="Q60" i="1"/>
  <c r="L60" i="1"/>
  <c r="G60" i="1"/>
  <c r="Q59" i="1"/>
  <c r="L59" i="1"/>
  <c r="G59" i="1"/>
  <c r="Z46" i="1"/>
  <c r="U46" i="1"/>
  <c r="P46" i="1"/>
  <c r="Z45" i="1"/>
  <c r="U45" i="1"/>
  <c r="P45" i="1"/>
  <c r="Z44" i="1"/>
  <c r="U44" i="1"/>
  <c r="P44" i="1"/>
  <c r="Z43" i="1"/>
  <c r="U43" i="1"/>
  <c r="P43" i="1"/>
  <c r="Z42" i="1"/>
  <c r="U42" i="1"/>
  <c r="P42" i="1"/>
  <c r="Z41" i="1"/>
  <c r="U41" i="1"/>
  <c r="P41" i="1"/>
  <c r="Z40" i="1"/>
  <c r="U40" i="1"/>
  <c r="P40" i="1"/>
  <c r="Z39" i="1"/>
  <c r="U39" i="1"/>
  <c r="P39" i="1"/>
  <c r="Z38" i="1"/>
  <c r="U38" i="1"/>
  <c r="P38" i="1"/>
  <c r="Z37" i="1"/>
  <c r="U37" i="1"/>
  <c r="P37" i="1"/>
  <c r="Z36" i="1"/>
  <c r="U36" i="1"/>
  <c r="P36" i="1"/>
  <c r="Z35" i="1"/>
  <c r="U35" i="1"/>
  <c r="P35" i="1"/>
  <c r="Z34" i="1"/>
  <c r="U34" i="1"/>
  <c r="P34" i="1"/>
  <c r="Z33" i="1"/>
  <c r="U33" i="1"/>
  <c r="P33" i="1"/>
  <c r="Z19" i="1"/>
  <c r="U19" i="1"/>
  <c r="P19" i="1"/>
  <c r="Z18" i="1"/>
  <c r="U18" i="1"/>
  <c r="P18" i="1"/>
  <c r="Z17" i="1"/>
  <c r="U17" i="1"/>
  <c r="P17" i="1"/>
  <c r="Z16" i="1"/>
  <c r="U16" i="1"/>
  <c r="P16" i="1"/>
  <c r="Z15" i="1"/>
  <c r="U15" i="1"/>
  <c r="P15" i="1"/>
  <c r="Z14" i="1"/>
  <c r="U14" i="1"/>
  <c r="P14" i="1"/>
  <c r="Z13" i="1"/>
  <c r="U13" i="1"/>
  <c r="P13" i="1"/>
  <c r="Z12" i="1"/>
  <c r="U12" i="1"/>
  <c r="P12" i="1"/>
  <c r="Z11" i="1"/>
  <c r="U11" i="1"/>
  <c r="P11" i="1"/>
  <c r="Z10" i="1"/>
  <c r="U10" i="1"/>
  <c r="P10" i="1"/>
  <c r="Z9" i="1"/>
  <c r="U9" i="1"/>
  <c r="P9" i="1"/>
  <c r="Z8" i="1"/>
  <c r="U8" i="1"/>
  <c r="P8" i="1"/>
  <c r="Z7" i="1"/>
  <c r="U7" i="1"/>
  <c r="P7" i="1"/>
  <c r="Z6" i="1"/>
  <c r="U6" i="1"/>
  <c r="P6" i="1"/>
  <c r="Z5" i="1"/>
  <c r="U5" i="1"/>
  <c r="P5" i="1"/>
  <c r="Z4" i="1"/>
  <c r="U4" i="1"/>
  <c r="P4" i="1"/>
</calcChain>
</file>

<file path=xl/sharedStrings.xml><?xml version="1.0" encoding="utf-8"?>
<sst xmlns="http://schemas.openxmlformats.org/spreadsheetml/2006/main" count="1704" uniqueCount="471">
  <si>
    <t>السنة الاولى</t>
  </si>
  <si>
    <t>السنة الثانية</t>
  </si>
  <si>
    <t>السنة الثالثة</t>
  </si>
  <si>
    <t>AW:آروبا</t>
  </si>
  <si>
    <t>غير متوفر</t>
  </si>
  <si>
    <t>الرقم التسلسلي</t>
  </si>
  <si>
    <t>الفئة</t>
  </si>
  <si>
    <t>البند</t>
  </si>
  <si>
    <t>وحدة القياس</t>
  </si>
  <si>
    <t>وصف البند</t>
  </si>
  <si>
    <t>المواصفات</t>
  </si>
  <si>
    <t>بلدالمنشأ</t>
  </si>
  <si>
    <t>منتج من القائمة الإلزامية</t>
  </si>
  <si>
    <t>الرمز الإنشائي</t>
  </si>
  <si>
    <t>حالة الصنف</t>
  </si>
  <si>
    <t>الكمية</t>
  </si>
  <si>
    <t>سعر الوحدة (الريال)</t>
  </si>
  <si>
    <t>نسبة الخصم للوحدة (%)</t>
  </si>
  <si>
    <t>نسبة ضريبة القيمة المضافة (%)</t>
  </si>
  <si>
    <t>إجمالى المبلغ رقماً (ريال)</t>
  </si>
  <si>
    <t>AZ:أذربيجان</t>
  </si>
  <si>
    <t>متوفر</t>
  </si>
  <si>
    <t>1</t>
  </si>
  <si>
    <t>01</t>
  </si>
  <si>
    <t>لتر</t>
  </si>
  <si>
    <t>زيت محرك نوع  10W30</t>
  </si>
  <si>
    <t>الإلتزام بكتالوج المركبة</t>
  </si>
  <si>
    <t>SA:المملكة العربية السعودية</t>
  </si>
  <si>
    <t>نعم</t>
  </si>
  <si>
    <t>6019</t>
  </si>
  <si>
    <t>0</t>
  </si>
  <si>
    <t>15</t>
  </si>
  <si>
    <t>AM:أرمينيا</t>
  </si>
  <si>
    <t>مجاني</t>
  </si>
  <si>
    <t>2</t>
  </si>
  <si>
    <t>02</t>
  </si>
  <si>
    <t>ES:أسبانيا</t>
  </si>
  <si>
    <t>3</t>
  </si>
  <si>
    <t>03</t>
  </si>
  <si>
    <t>80</t>
  </si>
  <si>
    <t>AU:أستراليا</t>
  </si>
  <si>
    <t>4</t>
  </si>
  <si>
    <t>04</t>
  </si>
  <si>
    <t>AF:أفغانستان</t>
  </si>
  <si>
    <t>5</t>
  </si>
  <si>
    <t>05</t>
  </si>
  <si>
    <t>زيت محرك نوع DIESEL 15w40</t>
  </si>
  <si>
    <t>AL:ألبانيا</t>
  </si>
  <si>
    <t>6</t>
  </si>
  <si>
    <t>06</t>
  </si>
  <si>
    <t>408</t>
  </si>
  <si>
    <t>DE:ألمانيا</t>
  </si>
  <si>
    <t>7</t>
  </si>
  <si>
    <t>07</t>
  </si>
  <si>
    <t>3400</t>
  </si>
  <si>
    <t>AG:أنتيجوا وبربودا</t>
  </si>
  <si>
    <t>8</t>
  </si>
  <si>
    <t>08</t>
  </si>
  <si>
    <t>392</t>
  </si>
  <si>
    <t>AO:أنجولا</t>
  </si>
  <si>
    <t>9</t>
  </si>
  <si>
    <t>09</t>
  </si>
  <si>
    <t>7456</t>
  </si>
  <si>
    <t>AI:أنجويلا</t>
  </si>
  <si>
    <t>10</t>
  </si>
  <si>
    <t>13008</t>
  </si>
  <si>
    <t>AD:أندورا</t>
  </si>
  <si>
    <t>11</t>
  </si>
  <si>
    <t>زيت محرك 5W20</t>
  </si>
  <si>
    <t>7232</t>
  </si>
  <si>
    <t>UY:أورجواي</t>
  </si>
  <si>
    <t>12</t>
  </si>
  <si>
    <t>8192</t>
  </si>
  <si>
    <t>UZ:أوزبكستان</t>
  </si>
  <si>
    <t>13</t>
  </si>
  <si>
    <t>زيت محرك 0W20</t>
  </si>
  <si>
    <t>1472</t>
  </si>
  <si>
    <t>UG:أوغندا</t>
  </si>
  <si>
    <t>14</t>
  </si>
  <si>
    <t>زيت محرك 5W30</t>
  </si>
  <si>
    <t>4224</t>
  </si>
  <si>
    <t>UA:أوكرانيا</t>
  </si>
  <si>
    <t>544</t>
  </si>
  <si>
    <t>IE:أيرلندا</t>
  </si>
  <si>
    <t>16</t>
  </si>
  <si>
    <t>زيت محرك R5000 4T 10W40</t>
  </si>
  <si>
    <t>156</t>
  </si>
  <si>
    <t>IS:أيسلندا</t>
  </si>
  <si>
    <t>ET:اثيوبيا</t>
  </si>
  <si>
    <t>ER:اريتريا</t>
  </si>
  <si>
    <t>EE:استونيا</t>
  </si>
  <si>
    <t>PN:فلسطين</t>
  </si>
  <si>
    <t>AR:الأرجنتين</t>
  </si>
  <si>
    <t>JO:الأردن</t>
  </si>
  <si>
    <t>EC:الاكوادور</t>
  </si>
  <si>
    <t>BS:الباهاما</t>
  </si>
  <si>
    <t>BR:البرازيل</t>
  </si>
  <si>
    <t>PT:البرتغال</t>
  </si>
  <si>
    <t>BA:البوسنة والهرسك</t>
  </si>
  <si>
    <t>GA:الجابون</t>
  </si>
  <si>
    <t>ME:الجبل الأسود</t>
  </si>
  <si>
    <t>DZ:الجزائر</t>
  </si>
  <si>
    <t>DK:الدانمرك</t>
  </si>
  <si>
    <t>CV:الرأس الأخضر</t>
  </si>
  <si>
    <t>SV:السلفادور</t>
  </si>
  <si>
    <t>SN:السنغال</t>
  </si>
  <si>
    <t>SD:السودان</t>
  </si>
  <si>
    <t>SE:السويد</t>
  </si>
  <si>
    <t>EH:الصحراء الغربية</t>
  </si>
  <si>
    <t>SO:الصومال</t>
  </si>
  <si>
    <t>CN:الصين</t>
  </si>
  <si>
    <t>IQ:العراق</t>
  </si>
  <si>
    <t>VA:الفاتيكان</t>
  </si>
  <si>
    <t>PH:الفيلبين</t>
  </si>
  <si>
    <t>AQ:القطب الجنوبي</t>
  </si>
  <si>
    <t>CM:الكاميرون</t>
  </si>
  <si>
    <t>CG:الكونغو - برازافيل</t>
  </si>
  <si>
    <t>HU:المجر</t>
  </si>
  <si>
    <t>IO:المحيط الهندي البريطاني</t>
  </si>
  <si>
    <t>MA:المغرب</t>
  </si>
  <si>
    <t>TF:المقاطعات الجنوبية الفرنسية</t>
  </si>
  <si>
    <t>MX:المكسيك</t>
  </si>
  <si>
    <t>GB:المملكة المتحدة</t>
  </si>
  <si>
    <t>NO:النرويج</t>
  </si>
  <si>
    <t>AT:النمسا</t>
  </si>
  <si>
    <t>NE:النيجر</t>
  </si>
  <si>
    <t>IN:الهند</t>
  </si>
  <si>
    <t>US:الولايات المتحدة الأمريكية</t>
  </si>
  <si>
    <t>JP:اليابان</t>
  </si>
  <si>
    <t>YE:اليمن</t>
  </si>
  <si>
    <t>GR:اليونان</t>
  </si>
  <si>
    <t>ID:اندونيسيا</t>
  </si>
  <si>
    <t>IR:ايران</t>
  </si>
  <si>
    <t>IT:ايطاليا</t>
  </si>
  <si>
    <t>PG:بابوا غينيا الجديدة</t>
  </si>
  <si>
    <t>PY:باراجواي</t>
  </si>
  <si>
    <t>PK:باكستان</t>
  </si>
  <si>
    <t>PW:بالاو</t>
  </si>
  <si>
    <t>BW:بتسوانا</t>
  </si>
  <si>
    <t>PN:بتكايرن</t>
  </si>
  <si>
    <t>BB:بربادوس</t>
  </si>
  <si>
    <t>BM:برمودا</t>
  </si>
  <si>
    <t>BN:بروناي</t>
  </si>
  <si>
    <t>BE:بلجيكا</t>
  </si>
  <si>
    <t>BG:بلغاريا</t>
  </si>
  <si>
    <t>BZ:بليز</t>
  </si>
  <si>
    <t>BD:بنجلاديش</t>
  </si>
  <si>
    <t>PA:بنما</t>
  </si>
  <si>
    <t>BJ:بنين</t>
  </si>
  <si>
    <t>BT:بوتان</t>
  </si>
  <si>
    <t>PR:بورتوريكو</t>
  </si>
  <si>
    <t>BF:بوركينا فاسو</t>
  </si>
  <si>
    <t>BI:بوروندي</t>
  </si>
  <si>
    <t>PL:بولندا</t>
  </si>
  <si>
    <t>BO:بوليفيا</t>
  </si>
  <si>
    <t>PF:بولينيزيا الفرنسية</t>
  </si>
  <si>
    <t>PE:بيرو</t>
  </si>
  <si>
    <t>TZ:تانزانيا</t>
  </si>
  <si>
    <t>TH:تايلند</t>
  </si>
  <si>
    <t>TW:تايوان</t>
  </si>
  <si>
    <t>TM:تركمانستان</t>
  </si>
  <si>
    <t>TR:تركيا</t>
  </si>
  <si>
    <t>TT:ترينيداد وتوباغو</t>
  </si>
  <si>
    <t>TD:تشاد</t>
  </si>
  <si>
    <t>TG:توجو</t>
  </si>
  <si>
    <t>TV:توفالو</t>
  </si>
  <si>
    <t>TK:توكيلو</t>
  </si>
  <si>
    <t>TO:تونجا</t>
  </si>
  <si>
    <t>TN:تونس</t>
  </si>
  <si>
    <t>TL:تيمور الشرقية</t>
  </si>
  <si>
    <t>JM:جامايكا</t>
  </si>
  <si>
    <t>GI:جبل طارق</t>
  </si>
  <si>
    <t>GD:جرينادا</t>
  </si>
  <si>
    <t>GL:جرينلاند</t>
  </si>
  <si>
    <t>AX:جزر أولان</t>
  </si>
  <si>
    <t>AN:جزر الأنتيل الهولندية</t>
  </si>
  <si>
    <t>TC:جزر الترك وجايكوس</t>
  </si>
  <si>
    <t>KM:جزر القمر</t>
  </si>
  <si>
    <t>KY:جزر الكايمن</t>
  </si>
  <si>
    <t>MH:جزر المارشال</t>
  </si>
  <si>
    <t>MV:جزر الملديف</t>
  </si>
  <si>
    <t>UM:جزر الولايات المتحدة البعيدة الصغيرة</t>
  </si>
  <si>
    <t>SB:جزر سليمان</t>
  </si>
  <si>
    <t>FO:جزر فارو</t>
  </si>
  <si>
    <t>VI:جزر فرجين الأمريكية</t>
  </si>
  <si>
    <t>VG:جزر فرجين البريطانية</t>
  </si>
  <si>
    <t>FK:جزر فوكلاند</t>
  </si>
  <si>
    <t>CK:جزر كوك</t>
  </si>
  <si>
    <t>CC:جزر كوكوس</t>
  </si>
  <si>
    <t>MP:جزر ماريانا الشمالية</t>
  </si>
  <si>
    <t>WF:جزر والس وفوتونا</t>
  </si>
  <si>
    <t>CX:جزيرة الكريسماس</t>
  </si>
  <si>
    <t>BV:جزيرة بوفيه</t>
  </si>
  <si>
    <t>NF:جزيرة نورفوك</t>
  </si>
  <si>
    <t>HM:جزيرة هيرد وماكدونالد</t>
  </si>
  <si>
    <t>CF:جمهورية افريقيا الوسطى</t>
  </si>
  <si>
    <t>CZ:جمهورية التشيك</t>
  </si>
  <si>
    <t>DO:جمهورية الدومينيك</t>
  </si>
  <si>
    <t>CD:جمهورية الكونغو الديمقراطية</t>
  </si>
  <si>
    <t>ZA:جمهورية جنوب افريقيا</t>
  </si>
  <si>
    <t>GT:جواتيمالا</t>
  </si>
  <si>
    <t>GP:جوادلوب</t>
  </si>
  <si>
    <t>GU:جوام</t>
  </si>
  <si>
    <t>GE:جورجيا</t>
  </si>
  <si>
    <t>GS:جورجيا الجنوبية وجزر ساندويتش الجنوبية</t>
  </si>
  <si>
    <t>DJ:جيبوتي</t>
  </si>
  <si>
    <t>JE:جيرسي</t>
  </si>
  <si>
    <t>RW:رواندا</t>
  </si>
  <si>
    <t>RU:روسيا</t>
  </si>
  <si>
    <t>BY:روسيا البيضاء</t>
  </si>
  <si>
    <t>RO:رومانيا</t>
  </si>
  <si>
    <t>RE:روينيون</t>
  </si>
  <si>
    <t>ZM:زامبيا</t>
  </si>
  <si>
    <t>ZW:زيمبابوي</t>
  </si>
  <si>
    <t>CI:ساحل العاج</t>
  </si>
  <si>
    <t>WS:ساموا</t>
  </si>
  <si>
    <t>AS:ساموا الأمريكية</t>
  </si>
  <si>
    <t>SM:سان مارينو</t>
  </si>
  <si>
    <t>PM:سانت بيير وميكولون</t>
  </si>
  <si>
    <t>VC:سانت فنسنت وغرنادين</t>
  </si>
  <si>
    <t>KN:سانت كيتس ونيفيس</t>
  </si>
  <si>
    <t>LC:سانت لوسيا</t>
  </si>
  <si>
    <t>MF:سانت مارتين</t>
  </si>
  <si>
    <t>SH:سانت هيلنا</t>
  </si>
  <si>
    <t>ST:ساو تومي وبرينسيبي</t>
  </si>
  <si>
    <t>LK:سريلانكا</t>
  </si>
  <si>
    <t>SJ:سفالبارد وجان مايان</t>
  </si>
  <si>
    <t>SK:سلوفاكيا</t>
  </si>
  <si>
    <t>SI:سلوفينيا</t>
  </si>
  <si>
    <t>SG:سنغافورة</t>
  </si>
  <si>
    <t>SZ:سوازيلاند</t>
  </si>
  <si>
    <t>SY:سوريا</t>
  </si>
  <si>
    <t>SR:سورينام</t>
  </si>
  <si>
    <t>CH:سويسرا</t>
  </si>
  <si>
    <t>SL:سيراليون</t>
  </si>
  <si>
    <t>SC:سيشل</t>
  </si>
  <si>
    <t>CL:شيلي</t>
  </si>
  <si>
    <t>RS:صربيا</t>
  </si>
  <si>
    <t>CS:صربيا والجبل الأسود</t>
  </si>
  <si>
    <t>TJ:طاجكستان</t>
  </si>
  <si>
    <t>GM:غامبيا</t>
  </si>
  <si>
    <t>GH:غانا</t>
  </si>
  <si>
    <t>GF:غويانا</t>
  </si>
  <si>
    <t>GY:غيانا</t>
  </si>
  <si>
    <t>GN:غينيا</t>
  </si>
  <si>
    <t>GQ:غينيا الاستوائية</t>
  </si>
  <si>
    <t>GW:غينيا بيساو</t>
  </si>
  <si>
    <t>VU:فانواتو</t>
  </si>
  <si>
    <t>FR:فرنسا</t>
  </si>
  <si>
    <t>PS:فلسطين</t>
  </si>
  <si>
    <t>VE:فنزويلا</t>
  </si>
  <si>
    <t>FI:فنلندا</t>
  </si>
  <si>
    <t>VN:فيتنام</t>
  </si>
  <si>
    <t>FJ:فيجي</t>
  </si>
  <si>
    <t>CY:قبرص</t>
  </si>
  <si>
    <t>KG:قرغيزستان</t>
  </si>
  <si>
    <t>KZ:كازاخستان</t>
  </si>
  <si>
    <t>NC:كاليدونيا الجديدة</t>
  </si>
  <si>
    <t>HR:كرواتيا</t>
  </si>
  <si>
    <t>KH:كمبوديا</t>
  </si>
  <si>
    <t>CA:كندا</t>
  </si>
  <si>
    <t>CU:كوبا</t>
  </si>
  <si>
    <t>KR:كوريا الجنوبية</t>
  </si>
  <si>
    <t>KP:كوريا الشمالية</t>
  </si>
  <si>
    <t>CR:كوستاريكا</t>
  </si>
  <si>
    <t>CO:كولومبيا</t>
  </si>
  <si>
    <t>KI:كيريباتي</t>
  </si>
  <si>
    <t>KE:كينيا</t>
  </si>
  <si>
    <t>LV:لاتفيا</t>
  </si>
  <si>
    <t>LA:لاوس</t>
  </si>
  <si>
    <t>LB:لبنان</t>
  </si>
  <si>
    <t>LU:لوكسمبورج</t>
  </si>
  <si>
    <t>LY:ليبيا</t>
  </si>
  <si>
    <t>LR:ليبيريا</t>
  </si>
  <si>
    <t>LT:ليتوانيا</t>
  </si>
  <si>
    <t>LI:ليختنشتاين</t>
  </si>
  <si>
    <t>LS:ليسوتو</t>
  </si>
  <si>
    <t>MQ:مارتينيك</t>
  </si>
  <si>
    <t>MO:ماكاو الصينية</t>
  </si>
  <si>
    <t>MT:مالطا</t>
  </si>
  <si>
    <t>ML:مالي</t>
  </si>
  <si>
    <t>MY:ماليزيا</t>
  </si>
  <si>
    <t>YT:مايوت</t>
  </si>
  <si>
    <t>MG:مدغشقر</t>
  </si>
  <si>
    <t>EG:مصر</t>
  </si>
  <si>
    <t>MK:مقدونيا</t>
  </si>
  <si>
    <t>MW:ملاوي</t>
  </si>
  <si>
    <t>ZZ:منطقة غير معرفة</t>
  </si>
  <si>
    <t>MN:منغوليا</t>
  </si>
  <si>
    <t>MR:موريتانيا</t>
  </si>
  <si>
    <t>MU:موريشيوس</t>
  </si>
  <si>
    <t>MZ:موزمبيق</t>
  </si>
  <si>
    <t>MD:مولدافيا</t>
  </si>
  <si>
    <t>MC:موناكو</t>
  </si>
  <si>
    <t>MS:مونتسرات</t>
  </si>
  <si>
    <t>MM:ميانمار</t>
  </si>
  <si>
    <t>FM:ميكرونيزيا</t>
  </si>
  <si>
    <t>NA:ناميبيا</t>
  </si>
  <si>
    <t>NR:نورو</t>
  </si>
  <si>
    <t>NP:نيبال</t>
  </si>
  <si>
    <t>NG:نيجيريا</t>
  </si>
  <si>
    <t>NI:نيكاراجوا</t>
  </si>
  <si>
    <t>NZ:نيوزيلاندا</t>
  </si>
  <si>
    <t>NU:نيوي</t>
  </si>
  <si>
    <t>HT:هايتي</t>
  </si>
  <si>
    <t>HN:هندوراس</t>
  </si>
  <si>
    <t>NL:هولندا</t>
  </si>
  <si>
    <t>HK:هونج كونج الصينية</t>
  </si>
  <si>
    <t>AE:الامارات العربية المتحدة</t>
  </si>
  <si>
    <t>BH:البحرين</t>
  </si>
  <si>
    <t>KW:الكويت</t>
  </si>
  <si>
    <t>OM:عمان</t>
  </si>
  <si>
    <t>QA:قطر</t>
  </si>
  <si>
    <t xml:space="preserve">زيوت المحركات </t>
  </si>
  <si>
    <t>زيوت القير</t>
  </si>
  <si>
    <t>WS</t>
  </si>
  <si>
    <t>6018</t>
  </si>
  <si>
    <t>666</t>
  </si>
  <si>
    <t>Type T-N</t>
  </si>
  <si>
    <t>GL-4 75W-90</t>
  </si>
  <si>
    <t>600</t>
  </si>
  <si>
    <t>FE</t>
  </si>
  <si>
    <t>MERCON LV</t>
  </si>
  <si>
    <t>120</t>
  </si>
  <si>
    <t>GL-4 75W-85</t>
  </si>
  <si>
    <t>83</t>
  </si>
  <si>
    <t>CVT   AT</t>
  </si>
  <si>
    <t>زيت تروس 90</t>
  </si>
  <si>
    <t>900</t>
  </si>
  <si>
    <t>ATF SB-IV</t>
  </si>
  <si>
    <t>BV 75 80</t>
  </si>
  <si>
    <t>22</t>
  </si>
  <si>
    <t>ATE III</t>
  </si>
  <si>
    <t>137</t>
  </si>
  <si>
    <t>ATF DEXRON-VI</t>
  </si>
  <si>
    <t>194</t>
  </si>
  <si>
    <t>8SPED</t>
  </si>
  <si>
    <t>33</t>
  </si>
  <si>
    <t>85</t>
  </si>
  <si>
    <t>4497</t>
  </si>
  <si>
    <t>34</t>
  </si>
  <si>
    <t>3378</t>
  </si>
  <si>
    <t>50</t>
  </si>
  <si>
    <t>1197</t>
  </si>
  <si>
    <t>28</t>
  </si>
  <si>
    <t>903</t>
  </si>
  <si>
    <t>312</t>
  </si>
  <si>
    <t>40</t>
  </si>
  <si>
    <t>612</t>
  </si>
  <si>
    <t>39</t>
  </si>
  <si>
    <t>327</t>
  </si>
  <si>
    <t>450</t>
  </si>
  <si>
    <t>249</t>
  </si>
  <si>
    <t>288</t>
  </si>
  <si>
    <t>444</t>
  </si>
  <si>
    <t>74</t>
  </si>
  <si>
    <t>402</t>
  </si>
  <si>
    <t>125</t>
  </si>
  <si>
    <t>381</t>
  </si>
  <si>
    <t>48</t>
  </si>
  <si>
    <t>306</t>
  </si>
  <si>
    <t>168</t>
  </si>
  <si>
    <t>345</t>
  </si>
  <si>
    <t>216</t>
  </si>
  <si>
    <t>35</t>
  </si>
  <si>
    <t>198</t>
  </si>
  <si>
    <t>183</t>
  </si>
  <si>
    <t>45</t>
  </si>
  <si>
    <t>150</t>
  </si>
  <si>
    <t>123</t>
  </si>
  <si>
    <t>102</t>
  </si>
  <si>
    <t>84</t>
  </si>
  <si>
    <t>66</t>
  </si>
  <si>
    <t>135</t>
  </si>
  <si>
    <t>285</t>
  </si>
  <si>
    <t>49</t>
  </si>
  <si>
    <t>87</t>
  </si>
  <si>
    <t>63</t>
  </si>
  <si>
    <t>144</t>
  </si>
  <si>
    <t>51</t>
  </si>
  <si>
    <t>41</t>
  </si>
  <si>
    <t>36</t>
  </si>
  <si>
    <t>18</t>
  </si>
  <si>
    <t>درزن</t>
  </si>
  <si>
    <t xml:space="preserve">زيت الهدروليك </t>
  </si>
  <si>
    <t>AW37</t>
  </si>
  <si>
    <t>علبة</t>
  </si>
  <si>
    <t xml:space="preserve">زيت الفرامل </t>
  </si>
  <si>
    <t>3DOT</t>
  </si>
  <si>
    <t>جالون</t>
  </si>
  <si>
    <t>تشحيم</t>
  </si>
  <si>
    <t>من أجود الأنواع</t>
  </si>
  <si>
    <t>لا</t>
  </si>
  <si>
    <t>ماء  رديتر أصلي</t>
  </si>
  <si>
    <t>مشتقات الزيوت</t>
  </si>
  <si>
    <t>فلاتر الزيت</t>
  </si>
  <si>
    <t>الغسيل</t>
  </si>
  <si>
    <t>بالعدد</t>
  </si>
  <si>
    <t>غسيل عادي للسيارات الصغيرة عدد(425)</t>
  </si>
  <si>
    <t>الالتزام بما ذكر بطريقة تنفيذ الاعمال</t>
  </si>
  <si>
    <t>غسيل عادي للسيارات المتوسطة عدد (2231)</t>
  </si>
  <si>
    <t>غسيل عادي لسيارات النقل الثقيل عدد (367)</t>
  </si>
  <si>
    <t xml:space="preserve">المبلغ الإجمالي بدون ضريبة القيمة المضافة </t>
  </si>
  <si>
    <t>ضريبة القيمة المضافة</t>
  </si>
  <si>
    <t xml:space="preserve">الإجمالي شاملاً ضريبة القيمة المضافة </t>
  </si>
  <si>
    <t>السنة الأولى</t>
  </si>
  <si>
    <t xml:space="preserve">إجمالي المبلغ للسنوات  </t>
  </si>
  <si>
    <t>المبلغ الإجمالي بدون ضريبة القيمة المضافة</t>
  </si>
  <si>
    <t>المبلغ الإجمالي شاملاً ضريبة القيمة المضافة</t>
  </si>
  <si>
    <t>تسعة عشر مليوناً و ثمانمائة و أربعة ألفاً و مائة و أربعة و خمسون ريالاً سعودياً و خمس و عشرون هللة لا غير.</t>
  </si>
  <si>
    <t>-</t>
  </si>
  <si>
    <t>فلتر ربع تويوتا</t>
  </si>
  <si>
    <t>فلتر اف جي تويوتا</t>
  </si>
  <si>
    <t>فلتر  فورشنر تويوتا</t>
  </si>
  <si>
    <t>فلتر شاص تويوتا</t>
  </si>
  <si>
    <t>فلتر اكسبلور فورد</t>
  </si>
  <si>
    <t>فلتر التيما نيسان</t>
  </si>
  <si>
    <t>فلتر تورس فورد</t>
  </si>
  <si>
    <t>فلتر تاهو شفرولية</t>
  </si>
  <si>
    <t>فلتر درانقو دوج</t>
  </si>
  <si>
    <t>فلتر تشارجر دوج</t>
  </si>
  <si>
    <t>فلتر دينا ايسوزو</t>
  </si>
  <si>
    <t>فلتر شاحنة ايسوزو</t>
  </si>
  <si>
    <t>فلتر لاند كروزر تويوتا</t>
  </si>
  <si>
    <t>فلتر فكتوريا فورد</t>
  </si>
  <si>
    <t>فلتر امبالا شفروليه</t>
  </si>
  <si>
    <t>فلتر بوكسر بيجو</t>
  </si>
  <si>
    <t>فلتر سفانا جي ام</t>
  </si>
  <si>
    <t>فلتر بكب نيسان</t>
  </si>
  <si>
    <t>فلتر سيدان بيجو</t>
  </si>
  <si>
    <t>فلتر هايلوكس تويوتا</t>
  </si>
  <si>
    <t>فلتر شاحنة مرسيدس</t>
  </si>
  <si>
    <t>فلتر جيب سوزوكي</t>
  </si>
  <si>
    <t>فلتر كامري تويوتا</t>
  </si>
  <si>
    <t>فلتر يوكن جي ام</t>
  </si>
  <si>
    <t>فلتر شاحنة فولفو</t>
  </si>
  <si>
    <t>فلتر باص نيسان</t>
  </si>
  <si>
    <t>فلتر دينا ميتسوبيشي</t>
  </si>
  <si>
    <t>فلتر اف 150 فورد</t>
  </si>
  <si>
    <t>فلتر رام دوج</t>
  </si>
  <si>
    <t>فلتر حافلة نيسان</t>
  </si>
  <si>
    <t>فلتر بكب ايسوزو</t>
  </si>
  <si>
    <t>فلتر اف 550 فورد</t>
  </si>
  <si>
    <t>فلتر حافلة هيونداي</t>
  </si>
  <si>
    <t>فلتر رافعة شوكية كات كتر بلر</t>
  </si>
  <si>
    <t>فلتر اكسبديشن فورد</t>
  </si>
  <si>
    <t>فلتر صني نيسان</t>
  </si>
  <si>
    <t>فلتر بارتنر بيجو</t>
  </si>
  <si>
    <t>فلتر باص تويوتا</t>
  </si>
  <si>
    <t>فلتر فوكس فورد</t>
  </si>
  <si>
    <t>فلتر اوريون تويوتا</t>
  </si>
  <si>
    <t>فلتر دراجة سوزوكي</t>
  </si>
  <si>
    <t>فلتر ونيت فورد</t>
  </si>
  <si>
    <t>فلتر سوبربان شفروليه</t>
  </si>
  <si>
    <t>فلتر النترا هيونداي</t>
  </si>
  <si>
    <t>فلتر دينا هيونداي</t>
  </si>
  <si>
    <t>فلتر باص مرسيدس 50 راكب</t>
  </si>
  <si>
    <t>فلتر شاحنة هيونداي</t>
  </si>
  <si>
    <t>فلتر رافعة شوكية تويوتا</t>
  </si>
  <si>
    <t>فلتر رافعة شوكية ميتسوبيشي</t>
  </si>
  <si>
    <t>فلتر سيرا جي ام</t>
  </si>
  <si>
    <t>S600 مرسيدس</t>
  </si>
  <si>
    <t>راس مرسيدس</t>
  </si>
  <si>
    <t>حافلة ميتسوبيشي</t>
  </si>
  <si>
    <t>راس فولفو</t>
  </si>
  <si>
    <t>شاحنة ميتسوبيشي</t>
  </si>
  <si>
    <t>فورد مدرعة</t>
  </si>
  <si>
    <t>اتش 1هيونداي</t>
  </si>
  <si>
    <t>دينا تويوتا</t>
  </si>
  <si>
    <t>كورولا تويوتا</t>
  </si>
  <si>
    <t>ميركوري فورد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</si>
</sst>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9"/>
      <color theme="1"/>
      <name val="Almohanad long kaf"/>
      <family val="1"/>
    </font>
    <font>
      <sz val="9"/>
      <color rgb="FFFFFFFF"/>
      <name val="Almohanad long kaf"/>
      <family val="1"/>
    </font>
    <font>
      <sz val="10"/>
      <color theme="1"/>
      <name val="Almohanad long kaf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 applyProtection="1">
      <alignment horizontal="center" vertical="center"/>
      <protection locked="0"/>
    </xf>
    <xf numFmtId="0" fontId="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 applyProtection="1">
      <alignment horizontal="center" vertical="center"/>
      <protection locked="0"/>
    </xf>
    <xf numFmtId="0" fontId="1" fillId="0" borderId="3" xfId="0" applyFont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4" fontId="1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 applyProtection="1">
      <alignment horizontal="center" vertical="center"/>
      <protection locked="0"/>
    </xf>
    <xf numFmtId="0" fontId="1" fillId="0" borderId="0" xfId="0" applyFont="1" applyAlignment="1">
      <alignment horizontal="center" vertic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B992F-0245-415E-9D52-5E75B9BC8A8F}">
  <sheetPr>
    <tabColor theme="7" tint="0.39997558519241921"/>
  </sheetPr>
  <dimension ref="B1:ZK248"/>
  <sheetViews>
    <sheetView rightToLeft="1" tabSelected="1" topLeftCell="A159" workbookViewId="0">
      <selection activeCell="B59" sqref="B59:B118"/>
    </sheetView>
  </sheetViews>
  <sheetFormatPr defaultRowHeight="12" x14ac:dyDescent="0.2"/>
  <cols>
    <col min="1" max="1" width="9" style="1"/>
    <col min="2" max="2" width="15.375" style="1" customWidth="1"/>
    <col min="3" max="3" width="5.625" style="1" customWidth="1"/>
    <col min="4" max="4" width="5.5" style="1" customWidth="1"/>
    <col min="5" max="5" width="10.5" style="1" customWidth="1"/>
    <col min="6" max="6" width="23.375" style="1" customWidth="1"/>
    <col min="7" max="7" width="27.5" style="1" bestFit="1" customWidth="1"/>
    <col min="8" max="8" width="25.125" style="1" customWidth="1"/>
    <col min="9" max="9" width="21.125" style="1" customWidth="1"/>
    <col min="10" max="10" width="12.625" style="1" customWidth="1"/>
    <col min="11" max="11" width="10.375" style="1" customWidth="1"/>
    <col min="12" max="12" width="24.25" style="1" bestFit="1" customWidth="1"/>
    <col min="13" max="13" width="16.25" style="1" customWidth="1"/>
    <col min="14" max="14" width="20.375" style="1" customWidth="1"/>
    <col min="15" max="15" width="28.5" style="1" customWidth="1"/>
    <col min="16" max="16" width="32.375" style="1" bestFit="1" customWidth="1"/>
    <col min="17" max="17" width="6.375" style="1" customWidth="1"/>
    <col min="18" max="18" width="16.25" style="1" customWidth="1"/>
    <col min="19" max="19" width="20.375" style="1" customWidth="1"/>
    <col min="20" max="20" width="28.5" style="1" customWidth="1"/>
    <col min="21" max="21" width="21" style="1" customWidth="1"/>
    <col min="22" max="22" width="6.375" style="1" customWidth="1"/>
    <col min="23" max="23" width="16.25" style="1" customWidth="1"/>
    <col min="24" max="24" width="20.375" style="1" customWidth="1"/>
    <col min="25" max="25" width="28.5" style="1" customWidth="1"/>
    <col min="26" max="26" width="21" style="1" customWidth="1"/>
    <col min="27" max="683" width="8" style="1" customWidth="1"/>
    <col min="684" max="684" width="39.75" style="1" customWidth="1"/>
    <col min="685" max="686" width="8" style="1" customWidth="1"/>
    <col min="687" max="687" width="9.875" style="1" customWidth="1"/>
    <col min="688" max="688" width="8" style="1" customWidth="1"/>
    <col min="689" max="16384" width="9" style="1"/>
  </cols>
  <sheetData>
    <row r="1" spans="2:687" ht="49.5" customHeight="1" x14ac:dyDescent="0.2">
      <c r="B1" s="17" t="s">
        <v>313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2:687" x14ac:dyDescent="0.2">
      <c r="B2" s="5"/>
      <c r="C2" s="5"/>
      <c r="D2" s="5"/>
      <c r="E2" s="5"/>
      <c r="F2" s="5"/>
      <c r="G2" s="5"/>
      <c r="H2" s="6"/>
      <c r="I2" s="5"/>
      <c r="J2" s="5"/>
      <c r="K2" s="6"/>
      <c r="L2" s="15" t="s">
        <v>0</v>
      </c>
      <c r="M2" s="16"/>
      <c r="N2" s="16"/>
      <c r="O2" s="16"/>
      <c r="P2" s="15"/>
      <c r="Q2" s="15" t="s">
        <v>1</v>
      </c>
      <c r="R2" s="16"/>
      <c r="S2" s="16"/>
      <c r="T2" s="16"/>
      <c r="U2" s="15"/>
      <c r="V2" s="15" t="s">
        <v>2</v>
      </c>
      <c r="W2" s="16"/>
      <c r="X2" s="16"/>
      <c r="Y2" s="16"/>
      <c r="Z2" s="15"/>
      <c r="ZH2" s="8" t="s">
        <v>3</v>
      </c>
      <c r="ZK2" s="8" t="s">
        <v>4</v>
      </c>
    </row>
    <row r="3" spans="2:687" x14ac:dyDescent="0.2">
      <c r="B3" s="5" t="s">
        <v>5</v>
      </c>
      <c r="C3" s="5" t="s">
        <v>6</v>
      </c>
      <c r="D3" s="5" t="s">
        <v>7</v>
      </c>
      <c r="E3" s="5" t="s">
        <v>8</v>
      </c>
      <c r="F3" s="5" t="s">
        <v>9</v>
      </c>
      <c r="G3" s="5" t="s">
        <v>10</v>
      </c>
      <c r="H3" s="6" t="s">
        <v>11</v>
      </c>
      <c r="I3" s="5" t="s">
        <v>12</v>
      </c>
      <c r="J3" s="5" t="s">
        <v>13</v>
      </c>
      <c r="K3" s="6" t="s">
        <v>14</v>
      </c>
      <c r="L3" s="5" t="s">
        <v>15</v>
      </c>
      <c r="M3" s="6" t="s">
        <v>16</v>
      </c>
      <c r="N3" s="6" t="s">
        <v>17</v>
      </c>
      <c r="O3" s="6" t="s">
        <v>18</v>
      </c>
      <c r="P3" s="5" t="s">
        <v>19</v>
      </c>
      <c r="Q3" s="5" t="s">
        <v>15</v>
      </c>
      <c r="R3" s="6" t="s">
        <v>16</v>
      </c>
      <c r="S3" s="6" t="s">
        <v>17</v>
      </c>
      <c r="T3" s="6" t="s">
        <v>18</v>
      </c>
      <c r="U3" s="5" t="s">
        <v>19</v>
      </c>
      <c r="V3" s="5" t="s">
        <v>15</v>
      </c>
      <c r="W3" s="6" t="s">
        <v>16</v>
      </c>
      <c r="X3" s="6" t="s">
        <v>17</v>
      </c>
      <c r="Y3" s="6" t="s">
        <v>18</v>
      </c>
      <c r="Z3" s="5" t="s">
        <v>19</v>
      </c>
      <c r="ZH3" s="8" t="s">
        <v>20</v>
      </c>
      <c r="ZK3" s="8" t="s">
        <v>21</v>
      </c>
    </row>
    <row r="4" spans="2:687" x14ac:dyDescent="0.2">
      <c r="B4" s="3">
        <v>1</v>
      </c>
      <c r="C4" s="3"/>
      <c r="D4" s="3">
        <v>1</v>
      </c>
      <c r="E4" s="3" t="s">
        <v>24</v>
      </c>
      <c r="F4" s="3" t="s">
        <v>25</v>
      </c>
      <c r="G4" s="3" t="s">
        <v>26</v>
      </c>
      <c r="H4" s="7" t="s">
        <v>27</v>
      </c>
      <c r="I4" s="3" t="s">
        <v>28</v>
      </c>
      <c r="J4" s="3">
        <v>6019</v>
      </c>
      <c r="K4" s="7" t="s">
        <v>21</v>
      </c>
      <c r="L4" s="3">
        <v>31380</v>
      </c>
      <c r="M4" s="7">
        <v>15</v>
      </c>
      <c r="N4" s="7">
        <v>0</v>
      </c>
      <c r="O4" s="7">
        <v>15</v>
      </c>
      <c r="P4" s="3">
        <f t="shared" ref="P4:P19" si="0">(((M4*L4)-((M4*L4)*(N4/100)))+(((M4*L4)-((M4*L4)*(N4/100)))*O4/100))</f>
        <v>541305</v>
      </c>
      <c r="Q4" s="3">
        <v>31380</v>
      </c>
      <c r="R4" s="7">
        <v>15</v>
      </c>
      <c r="S4" s="7">
        <v>0</v>
      </c>
      <c r="T4" s="7">
        <v>15</v>
      </c>
      <c r="U4" s="3">
        <f t="shared" ref="U4:U19" si="1">(((R4*Q4)-((R4*Q4)*(S4/100)))+(((R4*Q4)-((R4*Q4)*(S4/100)))*T4/100))</f>
        <v>541305</v>
      </c>
      <c r="V4" s="3">
        <v>31380</v>
      </c>
      <c r="W4" s="7">
        <v>16</v>
      </c>
      <c r="X4" s="7">
        <v>0</v>
      </c>
      <c r="Y4" s="7">
        <v>15</v>
      </c>
      <c r="Z4" s="3">
        <f t="shared" ref="Z4:Z19" si="2">(((W4*V4)-((W4*V4)*(X4/100)))+(((W4*V4)-((W4*V4)*(X4/100)))*Y4/100))</f>
        <v>577392</v>
      </c>
      <c r="ZH4" s="8" t="s">
        <v>32</v>
      </c>
      <c r="ZK4" s="8" t="s">
        <v>33</v>
      </c>
    </row>
    <row r="5" spans="2:687" x14ac:dyDescent="0.2">
      <c r="B5" s="3">
        <v>2</v>
      </c>
      <c r="C5" s="3"/>
      <c r="D5" s="3">
        <v>2</v>
      </c>
      <c r="E5" s="3" t="s">
        <v>24</v>
      </c>
      <c r="F5" s="3" t="s">
        <v>25</v>
      </c>
      <c r="G5" s="3" t="s">
        <v>26</v>
      </c>
      <c r="H5" s="7" t="s">
        <v>27</v>
      </c>
      <c r="I5" s="3" t="s">
        <v>28</v>
      </c>
      <c r="J5" s="3">
        <v>6019</v>
      </c>
      <c r="K5" s="7" t="s">
        <v>21</v>
      </c>
      <c r="L5" s="3">
        <v>58056</v>
      </c>
      <c r="M5" s="7">
        <v>15</v>
      </c>
      <c r="N5" s="7">
        <v>0</v>
      </c>
      <c r="O5" s="7">
        <v>15</v>
      </c>
      <c r="P5" s="3">
        <f t="shared" si="0"/>
        <v>1001466</v>
      </c>
      <c r="Q5" s="3">
        <v>58056</v>
      </c>
      <c r="R5" s="7">
        <v>15.5</v>
      </c>
      <c r="S5" s="7">
        <v>0</v>
      </c>
      <c r="T5" s="7">
        <v>15</v>
      </c>
      <c r="U5" s="3">
        <f t="shared" si="1"/>
        <v>1034848.2</v>
      </c>
      <c r="V5" s="3">
        <v>58056</v>
      </c>
      <c r="W5" s="7">
        <v>16</v>
      </c>
      <c r="X5" s="7">
        <v>0</v>
      </c>
      <c r="Y5" s="7">
        <v>15</v>
      </c>
      <c r="Z5" s="3">
        <f t="shared" si="2"/>
        <v>1068230.3999999999</v>
      </c>
      <c r="ZH5" s="8" t="s">
        <v>36</v>
      </c>
    </row>
    <row r="6" spans="2:687" x14ac:dyDescent="0.2">
      <c r="B6" s="3">
        <v>3</v>
      </c>
      <c r="C6" s="3"/>
      <c r="D6" s="3">
        <v>3</v>
      </c>
      <c r="E6" s="3" t="s">
        <v>24</v>
      </c>
      <c r="F6" s="3" t="s">
        <v>25</v>
      </c>
      <c r="G6" s="3" t="s">
        <v>26</v>
      </c>
      <c r="H6" s="7" t="s">
        <v>27</v>
      </c>
      <c r="I6" s="3" t="s">
        <v>28</v>
      </c>
      <c r="J6" s="3">
        <v>6019</v>
      </c>
      <c r="K6" s="7" t="s">
        <v>21</v>
      </c>
      <c r="L6" s="3">
        <v>80</v>
      </c>
      <c r="M6" s="7">
        <v>17</v>
      </c>
      <c r="N6" s="7">
        <v>0</v>
      </c>
      <c r="O6" s="7">
        <v>15</v>
      </c>
      <c r="P6" s="3">
        <f t="shared" si="0"/>
        <v>1564</v>
      </c>
      <c r="Q6" s="3">
        <v>80</v>
      </c>
      <c r="R6" s="7">
        <v>17.5</v>
      </c>
      <c r="S6" s="7">
        <v>0</v>
      </c>
      <c r="T6" s="7">
        <v>15</v>
      </c>
      <c r="U6" s="3">
        <f t="shared" si="1"/>
        <v>1610</v>
      </c>
      <c r="V6" s="3">
        <v>80</v>
      </c>
      <c r="W6" s="7">
        <v>18</v>
      </c>
      <c r="X6" s="7">
        <v>0</v>
      </c>
      <c r="Y6" s="7">
        <v>15</v>
      </c>
      <c r="Z6" s="3">
        <f t="shared" si="2"/>
        <v>1656</v>
      </c>
      <c r="ZH6" s="8" t="s">
        <v>40</v>
      </c>
    </row>
    <row r="7" spans="2:687" x14ac:dyDescent="0.2">
      <c r="B7" s="3">
        <v>4</v>
      </c>
      <c r="C7" s="3"/>
      <c r="D7" s="3">
        <v>4</v>
      </c>
      <c r="E7" s="3" t="s">
        <v>24</v>
      </c>
      <c r="F7" s="3" t="s">
        <v>25</v>
      </c>
      <c r="G7" s="3" t="s">
        <v>26</v>
      </c>
      <c r="H7" s="7" t="s">
        <v>27</v>
      </c>
      <c r="I7" s="3" t="s">
        <v>28</v>
      </c>
      <c r="J7" s="3">
        <v>6019</v>
      </c>
      <c r="K7" s="7" t="s">
        <v>21</v>
      </c>
      <c r="L7" s="3">
        <v>15136</v>
      </c>
      <c r="M7" s="7">
        <v>17</v>
      </c>
      <c r="N7" s="7">
        <v>0</v>
      </c>
      <c r="O7" s="7">
        <v>15</v>
      </c>
      <c r="P7" s="3">
        <f t="shared" si="0"/>
        <v>295908.8</v>
      </c>
      <c r="Q7" s="3">
        <v>15136</v>
      </c>
      <c r="R7" s="7">
        <v>17.25</v>
      </c>
      <c r="S7" s="7">
        <v>0</v>
      </c>
      <c r="T7" s="7">
        <v>15</v>
      </c>
      <c r="U7" s="3">
        <f t="shared" si="1"/>
        <v>300260.40000000002</v>
      </c>
      <c r="V7" s="3">
        <v>15136</v>
      </c>
      <c r="W7" s="7">
        <v>17.5</v>
      </c>
      <c r="X7" s="7">
        <v>0</v>
      </c>
      <c r="Y7" s="7">
        <v>15</v>
      </c>
      <c r="Z7" s="3">
        <f t="shared" si="2"/>
        <v>304612</v>
      </c>
      <c r="ZH7" s="8" t="s">
        <v>43</v>
      </c>
    </row>
    <row r="8" spans="2:687" x14ac:dyDescent="0.2">
      <c r="B8" s="3">
        <v>5</v>
      </c>
      <c r="C8" s="3"/>
      <c r="D8" s="3">
        <v>5</v>
      </c>
      <c r="E8" s="3" t="s">
        <v>24</v>
      </c>
      <c r="F8" s="3" t="s">
        <v>46</v>
      </c>
      <c r="G8" s="3" t="s">
        <v>26</v>
      </c>
      <c r="H8" s="7" t="s">
        <v>27</v>
      </c>
      <c r="I8" s="3" t="s">
        <v>28</v>
      </c>
      <c r="J8" s="3">
        <v>6019</v>
      </c>
      <c r="K8" s="7" t="s">
        <v>21</v>
      </c>
      <c r="L8" s="3">
        <v>13400</v>
      </c>
      <c r="M8" s="7">
        <v>14</v>
      </c>
      <c r="N8" s="7">
        <v>0</v>
      </c>
      <c r="O8" s="7">
        <v>15</v>
      </c>
      <c r="P8" s="3">
        <f t="shared" si="0"/>
        <v>215740</v>
      </c>
      <c r="Q8" s="3">
        <v>13400</v>
      </c>
      <c r="R8" s="7">
        <v>14</v>
      </c>
      <c r="S8" s="7">
        <v>0</v>
      </c>
      <c r="T8" s="7">
        <v>15</v>
      </c>
      <c r="U8" s="3">
        <f t="shared" si="1"/>
        <v>215740</v>
      </c>
      <c r="V8" s="3">
        <v>13400</v>
      </c>
      <c r="W8" s="7">
        <v>14.5</v>
      </c>
      <c r="X8" s="7" t="s">
        <v>30</v>
      </c>
      <c r="Y8" s="7" t="s">
        <v>31</v>
      </c>
      <c r="Z8" s="3">
        <f t="shared" si="2"/>
        <v>223445</v>
      </c>
      <c r="ZH8" s="8" t="s">
        <v>47</v>
      </c>
    </row>
    <row r="9" spans="2:687" x14ac:dyDescent="0.2">
      <c r="B9" s="3" t="s">
        <v>48</v>
      </c>
      <c r="C9" s="3"/>
      <c r="D9" s="3" t="s">
        <v>49</v>
      </c>
      <c r="E9" s="3" t="s">
        <v>24</v>
      </c>
      <c r="F9" s="3" t="s">
        <v>46</v>
      </c>
      <c r="G9" s="3" t="s">
        <v>26</v>
      </c>
      <c r="H9" s="7" t="s">
        <v>27</v>
      </c>
      <c r="I9" s="3" t="s">
        <v>28</v>
      </c>
      <c r="J9" s="3" t="s">
        <v>29</v>
      </c>
      <c r="K9" s="7" t="s">
        <v>21</v>
      </c>
      <c r="L9" s="3" t="s">
        <v>50</v>
      </c>
      <c r="M9" s="7">
        <v>14</v>
      </c>
      <c r="N9" s="7" t="s">
        <v>30</v>
      </c>
      <c r="O9" s="7" t="s">
        <v>31</v>
      </c>
      <c r="P9" s="3">
        <f t="shared" si="0"/>
        <v>6568.8</v>
      </c>
      <c r="Q9" s="3" t="s">
        <v>50</v>
      </c>
      <c r="R9" s="7">
        <v>14.5</v>
      </c>
      <c r="S9" s="7" t="s">
        <v>31</v>
      </c>
      <c r="T9" s="7" t="s">
        <v>30</v>
      </c>
      <c r="U9" s="3">
        <f t="shared" si="1"/>
        <v>5028.6000000000004</v>
      </c>
      <c r="V9" s="3" t="s">
        <v>50</v>
      </c>
      <c r="W9" s="7">
        <v>14.5</v>
      </c>
      <c r="X9" s="7" t="s">
        <v>30</v>
      </c>
      <c r="Y9" s="7" t="s">
        <v>31</v>
      </c>
      <c r="Z9" s="3">
        <f t="shared" si="2"/>
        <v>6803.4</v>
      </c>
      <c r="ZH9" s="8" t="s">
        <v>51</v>
      </c>
    </row>
    <row r="10" spans="2:687" x14ac:dyDescent="0.2">
      <c r="B10" s="3" t="s">
        <v>52</v>
      </c>
      <c r="C10" s="3"/>
      <c r="D10" s="3" t="s">
        <v>53</v>
      </c>
      <c r="E10" s="3" t="s">
        <v>24</v>
      </c>
      <c r="F10" s="3" t="s">
        <v>46</v>
      </c>
      <c r="G10" s="3" t="s">
        <v>26</v>
      </c>
      <c r="H10" s="7" t="s">
        <v>27</v>
      </c>
      <c r="I10" s="3" t="s">
        <v>28</v>
      </c>
      <c r="J10" s="3" t="s">
        <v>29</v>
      </c>
      <c r="K10" s="7" t="s">
        <v>21</v>
      </c>
      <c r="L10" s="3" t="s">
        <v>54</v>
      </c>
      <c r="M10" s="7">
        <v>15</v>
      </c>
      <c r="N10" s="7" t="s">
        <v>30</v>
      </c>
      <c r="O10" s="7" t="s">
        <v>31</v>
      </c>
      <c r="P10" s="3">
        <f t="shared" si="0"/>
        <v>58650</v>
      </c>
      <c r="Q10" s="3" t="s">
        <v>54</v>
      </c>
      <c r="R10" s="7">
        <v>15</v>
      </c>
      <c r="S10" s="7" t="s">
        <v>30</v>
      </c>
      <c r="T10" s="7" t="s">
        <v>31</v>
      </c>
      <c r="U10" s="3">
        <f t="shared" si="1"/>
        <v>58650</v>
      </c>
      <c r="V10" s="3" t="s">
        <v>54</v>
      </c>
      <c r="W10" s="7">
        <v>15</v>
      </c>
      <c r="X10" s="7" t="s">
        <v>30</v>
      </c>
      <c r="Y10" s="7" t="s">
        <v>31</v>
      </c>
      <c r="Z10" s="3">
        <f t="shared" si="2"/>
        <v>58650</v>
      </c>
      <c r="ZH10" s="8" t="s">
        <v>55</v>
      </c>
    </row>
    <row r="11" spans="2:687" x14ac:dyDescent="0.2">
      <c r="B11" s="3" t="s">
        <v>56</v>
      </c>
      <c r="C11" s="3"/>
      <c r="D11" s="3" t="s">
        <v>57</v>
      </c>
      <c r="E11" s="3" t="s">
        <v>24</v>
      </c>
      <c r="F11" s="3" t="s">
        <v>46</v>
      </c>
      <c r="G11" s="3" t="s">
        <v>26</v>
      </c>
      <c r="H11" s="7" t="s">
        <v>27</v>
      </c>
      <c r="I11" s="3" t="s">
        <v>28</v>
      </c>
      <c r="J11" s="3" t="s">
        <v>29</v>
      </c>
      <c r="K11" s="7" t="s">
        <v>21</v>
      </c>
      <c r="L11" s="3" t="s">
        <v>58</v>
      </c>
      <c r="M11" s="7">
        <v>15</v>
      </c>
      <c r="N11" s="7" t="s">
        <v>30</v>
      </c>
      <c r="O11" s="7" t="s">
        <v>31</v>
      </c>
      <c r="P11" s="3">
        <f t="shared" si="0"/>
        <v>6762</v>
      </c>
      <c r="Q11" s="3" t="s">
        <v>58</v>
      </c>
      <c r="R11" s="7">
        <v>15</v>
      </c>
      <c r="S11" s="7" t="s">
        <v>30</v>
      </c>
      <c r="T11" s="7" t="s">
        <v>31</v>
      </c>
      <c r="U11" s="3">
        <f t="shared" si="1"/>
        <v>6762</v>
      </c>
      <c r="V11" s="3" t="s">
        <v>58</v>
      </c>
      <c r="W11" s="7">
        <v>15</v>
      </c>
      <c r="X11" s="7" t="s">
        <v>30</v>
      </c>
      <c r="Y11" s="7" t="s">
        <v>31</v>
      </c>
      <c r="Z11" s="3">
        <f t="shared" si="2"/>
        <v>6762</v>
      </c>
      <c r="ZH11" s="8" t="s">
        <v>59</v>
      </c>
    </row>
    <row r="12" spans="2:687" x14ac:dyDescent="0.2">
      <c r="B12" s="3" t="s">
        <v>60</v>
      </c>
      <c r="C12" s="3"/>
      <c r="D12" s="3" t="s">
        <v>61</v>
      </c>
      <c r="E12" s="3" t="s">
        <v>24</v>
      </c>
      <c r="F12" s="3" t="s">
        <v>46</v>
      </c>
      <c r="G12" s="3" t="s">
        <v>26</v>
      </c>
      <c r="H12" s="7" t="s">
        <v>27</v>
      </c>
      <c r="I12" s="3" t="s">
        <v>28</v>
      </c>
      <c r="J12" s="3" t="s">
        <v>29</v>
      </c>
      <c r="K12" s="7" t="s">
        <v>21</v>
      </c>
      <c r="L12" s="3" t="s">
        <v>62</v>
      </c>
      <c r="M12" s="7">
        <v>15</v>
      </c>
      <c r="N12" s="7" t="s">
        <v>30</v>
      </c>
      <c r="O12" s="7" t="s">
        <v>31</v>
      </c>
      <c r="P12" s="3">
        <f t="shared" si="0"/>
        <v>128616</v>
      </c>
      <c r="Q12" s="3" t="s">
        <v>62</v>
      </c>
      <c r="R12" s="7">
        <v>15</v>
      </c>
      <c r="S12" s="7" t="s">
        <v>30</v>
      </c>
      <c r="T12" s="7" t="s">
        <v>31</v>
      </c>
      <c r="U12" s="3">
        <f t="shared" si="1"/>
        <v>128616</v>
      </c>
      <c r="V12" s="3" t="s">
        <v>62</v>
      </c>
      <c r="W12" s="7">
        <v>15</v>
      </c>
      <c r="X12" s="7" t="s">
        <v>30</v>
      </c>
      <c r="Y12" s="7" t="s">
        <v>31</v>
      </c>
      <c r="Z12" s="3">
        <f t="shared" si="2"/>
        <v>128616</v>
      </c>
      <c r="ZH12" s="8" t="s">
        <v>63</v>
      </c>
    </row>
    <row r="13" spans="2:687" x14ac:dyDescent="0.2">
      <c r="B13" s="3" t="s">
        <v>64</v>
      </c>
      <c r="C13" s="3"/>
      <c r="D13" s="3" t="s">
        <v>64</v>
      </c>
      <c r="E13" s="3" t="s">
        <v>24</v>
      </c>
      <c r="F13" s="3" t="s">
        <v>46</v>
      </c>
      <c r="G13" s="3" t="s">
        <v>26</v>
      </c>
      <c r="H13" s="7" t="s">
        <v>27</v>
      </c>
      <c r="I13" s="3" t="s">
        <v>28</v>
      </c>
      <c r="J13" s="3" t="s">
        <v>29</v>
      </c>
      <c r="K13" s="7" t="s">
        <v>21</v>
      </c>
      <c r="L13" s="3" t="s">
        <v>65</v>
      </c>
      <c r="M13" s="7">
        <v>15</v>
      </c>
      <c r="N13" s="7" t="s">
        <v>30</v>
      </c>
      <c r="O13" s="7" t="s">
        <v>31</v>
      </c>
      <c r="P13" s="3">
        <f t="shared" si="0"/>
        <v>224388</v>
      </c>
      <c r="Q13" s="3" t="s">
        <v>65</v>
      </c>
      <c r="R13" s="7">
        <v>15</v>
      </c>
      <c r="S13" s="7" t="s">
        <v>30</v>
      </c>
      <c r="T13" s="7" t="s">
        <v>31</v>
      </c>
      <c r="U13" s="3">
        <f t="shared" si="1"/>
        <v>224388</v>
      </c>
      <c r="V13" s="3" t="s">
        <v>65</v>
      </c>
      <c r="W13" s="7">
        <v>15</v>
      </c>
      <c r="X13" s="7" t="s">
        <v>30</v>
      </c>
      <c r="Y13" s="7" t="s">
        <v>31</v>
      </c>
      <c r="Z13" s="3">
        <f t="shared" si="2"/>
        <v>224388</v>
      </c>
      <c r="ZH13" s="8" t="s">
        <v>66</v>
      </c>
    </row>
    <row r="14" spans="2:687" x14ac:dyDescent="0.2">
      <c r="B14" s="3" t="s">
        <v>67</v>
      </c>
      <c r="C14" s="3"/>
      <c r="D14" s="3" t="s">
        <v>67</v>
      </c>
      <c r="E14" s="3" t="s">
        <v>24</v>
      </c>
      <c r="F14" s="3" t="s">
        <v>68</v>
      </c>
      <c r="G14" s="3" t="s">
        <v>26</v>
      </c>
      <c r="H14" s="7" t="s">
        <v>27</v>
      </c>
      <c r="I14" s="3" t="s">
        <v>28</v>
      </c>
      <c r="J14" s="3" t="s">
        <v>29</v>
      </c>
      <c r="K14" s="7" t="s">
        <v>21</v>
      </c>
      <c r="L14" s="3" t="s">
        <v>69</v>
      </c>
      <c r="M14" s="7">
        <v>21</v>
      </c>
      <c r="N14" s="7" t="s">
        <v>30</v>
      </c>
      <c r="O14" s="7" t="s">
        <v>31</v>
      </c>
      <c r="P14" s="3">
        <f t="shared" si="0"/>
        <v>174652.79999999999</v>
      </c>
      <c r="Q14" s="3" t="s">
        <v>69</v>
      </c>
      <c r="R14" s="7">
        <v>21</v>
      </c>
      <c r="S14" s="7" t="s">
        <v>30</v>
      </c>
      <c r="T14" s="7" t="s">
        <v>31</v>
      </c>
      <c r="U14" s="3">
        <f t="shared" si="1"/>
        <v>174652.79999999999</v>
      </c>
      <c r="V14" s="3" t="s">
        <v>69</v>
      </c>
      <c r="W14" s="7">
        <v>22.5</v>
      </c>
      <c r="X14" s="7" t="s">
        <v>30</v>
      </c>
      <c r="Y14" s="7" t="s">
        <v>31</v>
      </c>
      <c r="Z14" s="3">
        <f t="shared" si="2"/>
        <v>187128</v>
      </c>
      <c r="ZH14" s="8" t="s">
        <v>70</v>
      </c>
    </row>
    <row r="15" spans="2:687" x14ac:dyDescent="0.2">
      <c r="B15" s="3" t="s">
        <v>71</v>
      </c>
      <c r="C15" s="3"/>
      <c r="D15" s="3" t="s">
        <v>71</v>
      </c>
      <c r="E15" s="3" t="s">
        <v>24</v>
      </c>
      <c r="F15" s="3" t="s">
        <v>68</v>
      </c>
      <c r="G15" s="3" t="s">
        <v>26</v>
      </c>
      <c r="H15" s="7" t="s">
        <v>27</v>
      </c>
      <c r="I15" s="3" t="s">
        <v>28</v>
      </c>
      <c r="J15" s="3" t="s">
        <v>29</v>
      </c>
      <c r="K15" s="7" t="s">
        <v>21</v>
      </c>
      <c r="L15" s="3" t="s">
        <v>72</v>
      </c>
      <c r="M15" s="7">
        <v>23</v>
      </c>
      <c r="N15" s="7" t="s">
        <v>30</v>
      </c>
      <c r="O15" s="7" t="s">
        <v>31</v>
      </c>
      <c r="P15" s="3">
        <f t="shared" si="0"/>
        <v>216678.39999999999</v>
      </c>
      <c r="Q15" s="3" t="s">
        <v>72</v>
      </c>
      <c r="R15" s="7">
        <v>23</v>
      </c>
      <c r="S15" s="7" t="s">
        <v>30</v>
      </c>
      <c r="T15" s="7" t="s">
        <v>31</v>
      </c>
      <c r="U15" s="3">
        <f t="shared" si="1"/>
        <v>216678.39999999999</v>
      </c>
      <c r="V15" s="3" t="s">
        <v>72</v>
      </c>
      <c r="W15" s="7">
        <v>13</v>
      </c>
      <c r="X15" s="7" t="s">
        <v>30</v>
      </c>
      <c r="Y15" s="7" t="s">
        <v>31</v>
      </c>
      <c r="Z15" s="3">
        <f t="shared" si="2"/>
        <v>122470.39999999999</v>
      </c>
      <c r="ZH15" s="8" t="s">
        <v>73</v>
      </c>
    </row>
    <row r="16" spans="2:687" x14ac:dyDescent="0.2">
      <c r="B16" s="3" t="s">
        <v>74</v>
      </c>
      <c r="C16" s="3"/>
      <c r="D16" s="3" t="s">
        <v>74</v>
      </c>
      <c r="E16" s="3" t="s">
        <v>24</v>
      </c>
      <c r="F16" s="3" t="s">
        <v>75</v>
      </c>
      <c r="G16" s="3" t="s">
        <v>26</v>
      </c>
      <c r="H16" s="7" t="s">
        <v>27</v>
      </c>
      <c r="I16" s="3" t="s">
        <v>28</v>
      </c>
      <c r="J16" s="3" t="s">
        <v>29</v>
      </c>
      <c r="K16" s="7" t="s">
        <v>21</v>
      </c>
      <c r="L16" s="3" t="s">
        <v>76</v>
      </c>
      <c r="M16" s="7">
        <v>31</v>
      </c>
      <c r="N16" s="7" t="s">
        <v>30</v>
      </c>
      <c r="O16" s="7" t="s">
        <v>31</v>
      </c>
      <c r="P16" s="3">
        <f t="shared" si="0"/>
        <v>52476.800000000003</v>
      </c>
      <c r="Q16" s="3" t="s">
        <v>76</v>
      </c>
      <c r="R16" s="7">
        <v>31</v>
      </c>
      <c r="S16" s="7" t="s">
        <v>30</v>
      </c>
      <c r="T16" s="7" t="s">
        <v>31</v>
      </c>
      <c r="U16" s="3">
        <f t="shared" si="1"/>
        <v>52476.800000000003</v>
      </c>
      <c r="V16" s="3" t="s">
        <v>76</v>
      </c>
      <c r="W16" s="7">
        <v>31.5</v>
      </c>
      <c r="X16" s="7" t="s">
        <v>30</v>
      </c>
      <c r="Y16" s="7" t="s">
        <v>31</v>
      </c>
      <c r="Z16" s="3">
        <f t="shared" si="2"/>
        <v>53323.199999999997</v>
      </c>
      <c r="ZH16" s="8" t="s">
        <v>77</v>
      </c>
    </row>
    <row r="17" spans="2:684" x14ac:dyDescent="0.2">
      <c r="B17" s="3" t="s">
        <v>78</v>
      </c>
      <c r="C17" s="3"/>
      <c r="D17" s="3" t="s">
        <v>78</v>
      </c>
      <c r="E17" s="3" t="s">
        <v>24</v>
      </c>
      <c r="F17" s="3" t="s">
        <v>79</v>
      </c>
      <c r="G17" s="3" t="s">
        <v>26</v>
      </c>
      <c r="H17" s="7" t="s">
        <v>27</v>
      </c>
      <c r="I17" s="3" t="s">
        <v>28</v>
      </c>
      <c r="J17" s="3" t="s">
        <v>29</v>
      </c>
      <c r="K17" s="7" t="s">
        <v>21</v>
      </c>
      <c r="L17" s="3" t="s">
        <v>80</v>
      </c>
      <c r="M17" s="7">
        <v>29.5</v>
      </c>
      <c r="N17" s="7" t="s">
        <v>30</v>
      </c>
      <c r="O17" s="7" t="s">
        <v>31</v>
      </c>
      <c r="P17" s="3">
        <f t="shared" si="0"/>
        <v>143299.20000000001</v>
      </c>
      <c r="Q17" s="3" t="s">
        <v>80</v>
      </c>
      <c r="R17" s="7">
        <v>29.5</v>
      </c>
      <c r="S17" s="7" t="s">
        <v>30</v>
      </c>
      <c r="T17" s="7" t="s">
        <v>31</v>
      </c>
      <c r="U17" s="3">
        <f t="shared" si="1"/>
        <v>143299.20000000001</v>
      </c>
      <c r="V17" s="3" t="s">
        <v>80</v>
      </c>
      <c r="W17" s="7">
        <v>30</v>
      </c>
      <c r="X17" s="7" t="s">
        <v>30</v>
      </c>
      <c r="Y17" s="7" t="s">
        <v>31</v>
      </c>
      <c r="Z17" s="3">
        <f t="shared" si="2"/>
        <v>145728</v>
      </c>
      <c r="ZH17" s="8" t="s">
        <v>81</v>
      </c>
    </row>
    <row r="18" spans="2:684" x14ac:dyDescent="0.2">
      <c r="B18" s="3" t="s">
        <v>31</v>
      </c>
      <c r="C18" s="3"/>
      <c r="D18" s="3" t="s">
        <v>31</v>
      </c>
      <c r="E18" s="3" t="s">
        <v>24</v>
      </c>
      <c r="F18" s="3" t="s">
        <v>79</v>
      </c>
      <c r="G18" s="3" t="s">
        <v>26</v>
      </c>
      <c r="H18" s="7" t="s">
        <v>27</v>
      </c>
      <c r="I18" s="3" t="s">
        <v>28</v>
      </c>
      <c r="J18" s="3" t="s">
        <v>29</v>
      </c>
      <c r="K18" s="7" t="s">
        <v>21</v>
      </c>
      <c r="L18" s="3" t="s">
        <v>82</v>
      </c>
      <c r="M18" s="7">
        <v>29.5</v>
      </c>
      <c r="N18" s="7" t="s">
        <v>30</v>
      </c>
      <c r="O18" s="7" t="s">
        <v>31</v>
      </c>
      <c r="P18" s="3">
        <f t="shared" si="0"/>
        <v>18455.2</v>
      </c>
      <c r="Q18" s="3" t="s">
        <v>82</v>
      </c>
      <c r="R18" s="7">
        <v>29.5</v>
      </c>
      <c r="S18" s="7" t="s">
        <v>30</v>
      </c>
      <c r="T18" s="7" t="s">
        <v>31</v>
      </c>
      <c r="U18" s="3">
        <f t="shared" si="1"/>
        <v>18455.2</v>
      </c>
      <c r="V18" s="3" t="s">
        <v>82</v>
      </c>
      <c r="W18" s="7">
        <v>30</v>
      </c>
      <c r="X18" s="7" t="s">
        <v>30</v>
      </c>
      <c r="Y18" s="7" t="s">
        <v>31</v>
      </c>
      <c r="Z18" s="3">
        <f t="shared" si="2"/>
        <v>18768</v>
      </c>
      <c r="ZH18" s="8" t="s">
        <v>83</v>
      </c>
    </row>
    <row r="19" spans="2:684" x14ac:dyDescent="0.2">
      <c r="B19" s="3" t="s">
        <v>84</v>
      </c>
      <c r="C19" s="3"/>
      <c r="D19" s="3" t="s">
        <v>84</v>
      </c>
      <c r="E19" s="3" t="s">
        <v>24</v>
      </c>
      <c r="F19" s="3" t="s">
        <v>85</v>
      </c>
      <c r="G19" s="3" t="s">
        <v>26</v>
      </c>
      <c r="H19" s="7" t="s">
        <v>27</v>
      </c>
      <c r="I19" s="3" t="s">
        <v>28</v>
      </c>
      <c r="J19" s="3" t="s">
        <v>29</v>
      </c>
      <c r="K19" s="7" t="s">
        <v>21</v>
      </c>
      <c r="L19" s="3" t="s">
        <v>86</v>
      </c>
      <c r="M19" s="7">
        <v>31</v>
      </c>
      <c r="N19" s="7" t="s">
        <v>30</v>
      </c>
      <c r="O19" s="7" t="s">
        <v>31</v>
      </c>
      <c r="P19" s="3">
        <f t="shared" si="0"/>
        <v>5561.4</v>
      </c>
      <c r="Q19" s="3" t="s">
        <v>86</v>
      </c>
      <c r="R19" s="7">
        <v>31</v>
      </c>
      <c r="S19" s="7" t="s">
        <v>30</v>
      </c>
      <c r="T19" s="7" t="s">
        <v>31</v>
      </c>
      <c r="U19" s="3">
        <f t="shared" si="1"/>
        <v>5561.4</v>
      </c>
      <c r="V19" s="3" t="s">
        <v>86</v>
      </c>
      <c r="W19" s="7">
        <v>31.25</v>
      </c>
      <c r="X19" s="7" t="s">
        <v>30</v>
      </c>
      <c r="Y19" s="7" t="s">
        <v>31</v>
      </c>
      <c r="Z19" s="3">
        <f t="shared" si="2"/>
        <v>5606.25</v>
      </c>
      <c r="ZH19" s="8" t="s">
        <v>87</v>
      </c>
    </row>
    <row r="20" spans="2:684" x14ac:dyDescent="0.2">
      <c r="H20" s="2"/>
      <c r="K20" s="2"/>
      <c r="M20" s="2"/>
      <c r="N20" s="2"/>
      <c r="O20" s="2"/>
      <c r="R20" s="2"/>
      <c r="S20" s="2"/>
      <c r="T20" s="2"/>
      <c r="W20" s="2"/>
      <c r="X20" s="2"/>
      <c r="Y20" s="2"/>
      <c r="ZH20" s="8"/>
    </row>
    <row r="21" spans="2:684" x14ac:dyDescent="0.2">
      <c r="B21" s="11"/>
      <c r="C21" s="12"/>
      <c r="D21" s="12"/>
      <c r="E21" s="13"/>
      <c r="F21" s="3" t="s">
        <v>405</v>
      </c>
      <c r="G21" s="3" t="s">
        <v>1</v>
      </c>
      <c r="H21" s="3" t="s">
        <v>2</v>
      </c>
      <c r="I21" s="3" t="s">
        <v>406</v>
      </c>
      <c r="ZH21" s="8" t="s">
        <v>88</v>
      </c>
    </row>
    <row r="22" spans="2:684" x14ac:dyDescent="0.2">
      <c r="B22" s="14" t="s">
        <v>402</v>
      </c>
      <c r="C22" s="14"/>
      <c r="D22" s="14"/>
      <c r="E22" s="14"/>
      <c r="F22" s="9">
        <v>2688776</v>
      </c>
      <c r="G22" s="9">
        <v>2720288.7</v>
      </c>
      <c r="H22" s="9">
        <v>2724851</v>
      </c>
      <c r="I22" s="9">
        <f>F22+G22+H22</f>
        <v>8133915.7000000002</v>
      </c>
      <c r="ZH22" s="8" t="s">
        <v>89</v>
      </c>
    </row>
    <row r="23" spans="2:684" x14ac:dyDescent="0.2">
      <c r="B23" s="14" t="s">
        <v>403</v>
      </c>
      <c r="C23" s="14"/>
      <c r="D23" s="14"/>
      <c r="E23" s="14"/>
      <c r="F23" s="9">
        <v>403316.4</v>
      </c>
      <c r="G23" s="9">
        <v>408043.31</v>
      </c>
      <c r="H23" s="9">
        <v>408727.65</v>
      </c>
      <c r="I23" s="9">
        <f>F23+G23+H23</f>
        <v>1220087.3599999999</v>
      </c>
      <c r="ZH23" s="8" t="s">
        <v>90</v>
      </c>
    </row>
    <row r="24" spans="2:684" x14ac:dyDescent="0.2">
      <c r="B24" s="14" t="s">
        <v>404</v>
      </c>
      <c r="C24" s="14"/>
      <c r="D24" s="14"/>
      <c r="E24" s="14"/>
      <c r="F24" s="9">
        <v>3092092.4</v>
      </c>
      <c r="G24" s="9">
        <v>3128332</v>
      </c>
      <c r="H24" s="9">
        <v>3133578.65</v>
      </c>
      <c r="I24" s="9">
        <f>F24+G24+H24</f>
        <v>9354003.0500000007</v>
      </c>
      <c r="ZH24" s="8" t="s">
        <v>91</v>
      </c>
    </row>
    <row r="25" spans="2:684" x14ac:dyDescent="0.2">
      <c r="ZH25" s="8" t="s">
        <v>92</v>
      </c>
    </row>
    <row r="26" spans="2:684" x14ac:dyDescent="0.2">
      <c r="ZH26" s="8" t="s">
        <v>93</v>
      </c>
    </row>
    <row r="27" spans="2:684" x14ac:dyDescent="0.2">
      <c r="ZH27" s="8" t="s">
        <v>94</v>
      </c>
    </row>
    <row r="28" spans="2:684" x14ac:dyDescent="0.2">
      <c r="ZH28" s="8" t="s">
        <v>95</v>
      </c>
    </row>
    <row r="29" spans="2:684" x14ac:dyDescent="0.2">
      <c r="ZH29" s="8" t="s">
        <v>96</v>
      </c>
    </row>
    <row r="30" spans="2:684" x14ac:dyDescent="0.2">
      <c r="B30" s="17" t="s">
        <v>314</v>
      </c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ZH30" s="8" t="s">
        <v>97</v>
      </c>
    </row>
    <row r="31" spans="2:684" x14ac:dyDescent="0.2">
      <c r="B31" s="5"/>
      <c r="C31" s="5"/>
      <c r="D31" s="5"/>
      <c r="E31" s="5"/>
      <c r="F31" s="5"/>
      <c r="G31" s="5"/>
      <c r="H31" s="6"/>
      <c r="I31" s="5"/>
      <c r="J31" s="5"/>
      <c r="K31" s="6"/>
      <c r="L31" s="15" t="s">
        <v>0</v>
      </c>
      <c r="M31" s="16"/>
      <c r="N31" s="16"/>
      <c r="O31" s="16"/>
      <c r="P31" s="15"/>
      <c r="Q31" s="15" t="s">
        <v>1</v>
      </c>
      <c r="R31" s="16"/>
      <c r="S31" s="16"/>
      <c r="T31" s="16"/>
      <c r="U31" s="15"/>
      <c r="V31" s="15" t="s">
        <v>2</v>
      </c>
      <c r="W31" s="16"/>
      <c r="X31" s="16"/>
      <c r="Y31" s="16"/>
      <c r="Z31" s="15"/>
      <c r="ZH31" s="8" t="s">
        <v>98</v>
      </c>
    </row>
    <row r="32" spans="2:684" x14ac:dyDescent="0.2">
      <c r="B32" s="5" t="s">
        <v>5</v>
      </c>
      <c r="C32" s="5" t="s">
        <v>6</v>
      </c>
      <c r="D32" s="5" t="s">
        <v>7</v>
      </c>
      <c r="E32" s="5" t="s">
        <v>8</v>
      </c>
      <c r="F32" s="5" t="s">
        <v>9</v>
      </c>
      <c r="G32" s="5" t="s">
        <v>10</v>
      </c>
      <c r="H32" s="6" t="s">
        <v>11</v>
      </c>
      <c r="I32" s="5" t="s">
        <v>12</v>
      </c>
      <c r="J32" s="5" t="s">
        <v>13</v>
      </c>
      <c r="K32" s="6" t="s">
        <v>14</v>
      </c>
      <c r="L32" s="5" t="s">
        <v>15</v>
      </c>
      <c r="M32" s="6" t="s">
        <v>16</v>
      </c>
      <c r="N32" s="6" t="s">
        <v>17</v>
      </c>
      <c r="O32" s="6" t="s">
        <v>18</v>
      </c>
      <c r="P32" s="5" t="s">
        <v>19</v>
      </c>
      <c r="Q32" s="5" t="s">
        <v>15</v>
      </c>
      <c r="R32" s="6" t="s">
        <v>16</v>
      </c>
      <c r="S32" s="6" t="s">
        <v>17</v>
      </c>
      <c r="T32" s="6" t="s">
        <v>18</v>
      </c>
      <c r="U32" s="5" t="s">
        <v>19</v>
      </c>
      <c r="V32" s="5" t="s">
        <v>15</v>
      </c>
      <c r="W32" s="6" t="s">
        <v>16</v>
      </c>
      <c r="X32" s="6" t="s">
        <v>17</v>
      </c>
      <c r="Y32" s="6" t="s">
        <v>18</v>
      </c>
      <c r="Z32" s="5" t="s">
        <v>19</v>
      </c>
      <c r="ZH32" s="8" t="s">
        <v>99</v>
      </c>
    </row>
    <row r="33" spans="2:684" x14ac:dyDescent="0.2">
      <c r="B33" s="3" t="s">
        <v>22</v>
      </c>
      <c r="C33" s="3"/>
      <c r="D33" s="3" t="s">
        <v>23</v>
      </c>
      <c r="E33" s="3" t="s">
        <v>24</v>
      </c>
      <c r="F33" s="3" t="s">
        <v>315</v>
      </c>
      <c r="G33" s="3" t="s">
        <v>26</v>
      </c>
      <c r="H33" s="7" t="s">
        <v>27</v>
      </c>
      <c r="I33" s="3" t="s">
        <v>28</v>
      </c>
      <c r="J33" s="3" t="s">
        <v>316</v>
      </c>
      <c r="K33" s="7" t="s">
        <v>21</v>
      </c>
      <c r="L33" s="3" t="s">
        <v>317</v>
      </c>
      <c r="M33" s="7">
        <v>28</v>
      </c>
      <c r="N33" s="7" t="s">
        <v>30</v>
      </c>
      <c r="O33" s="7" t="s">
        <v>31</v>
      </c>
      <c r="P33" s="3">
        <f t="shared" ref="P33:P46" si="3">(((M33*L33)-((M33*L33)*(N33/100)))+(((M33*L33)-((M33*L33)*(N33/100)))*O33/100))</f>
        <v>21445.200000000001</v>
      </c>
      <c r="Q33" s="3" t="s">
        <v>317</v>
      </c>
      <c r="R33" s="7">
        <v>28</v>
      </c>
      <c r="S33" s="7" t="s">
        <v>30</v>
      </c>
      <c r="T33" s="7" t="s">
        <v>31</v>
      </c>
      <c r="U33" s="3">
        <f t="shared" ref="U33:U46" si="4">(((R33*Q33)-((R33*Q33)*(S33/100)))+(((R33*Q33)-((R33*Q33)*(S33/100)))*T33/100))</f>
        <v>21445.200000000001</v>
      </c>
      <c r="V33" s="3" t="s">
        <v>317</v>
      </c>
      <c r="W33" s="7">
        <v>28</v>
      </c>
      <c r="X33" s="7" t="s">
        <v>30</v>
      </c>
      <c r="Y33" s="7" t="s">
        <v>31</v>
      </c>
      <c r="Z33" s="3">
        <f t="shared" ref="Z33:Z46" si="5">(((W33*V33)-((W33*V33)*(X33/100)))+(((W33*V33)-((W33*V33)*(X33/100)))*Y33/100))</f>
        <v>21445.200000000001</v>
      </c>
      <c r="ZH33" s="8" t="s">
        <v>100</v>
      </c>
    </row>
    <row r="34" spans="2:684" x14ac:dyDescent="0.2">
      <c r="B34" s="3" t="s">
        <v>34</v>
      </c>
      <c r="C34" s="3"/>
      <c r="D34" s="3" t="s">
        <v>35</v>
      </c>
      <c r="E34" s="3" t="s">
        <v>24</v>
      </c>
      <c r="F34" s="3" t="s">
        <v>318</v>
      </c>
      <c r="G34" s="3" t="s">
        <v>26</v>
      </c>
      <c r="H34" s="7" t="s">
        <v>27</v>
      </c>
      <c r="I34" s="3" t="s">
        <v>28</v>
      </c>
      <c r="J34" s="3" t="s">
        <v>316</v>
      </c>
      <c r="K34" s="7" t="s">
        <v>21</v>
      </c>
      <c r="L34" s="3" t="s">
        <v>39</v>
      </c>
      <c r="M34" s="7">
        <v>20</v>
      </c>
      <c r="N34" s="7" t="s">
        <v>30</v>
      </c>
      <c r="O34" s="7" t="s">
        <v>31</v>
      </c>
      <c r="P34" s="3">
        <f t="shared" si="3"/>
        <v>1840</v>
      </c>
      <c r="Q34" s="3" t="s">
        <v>39</v>
      </c>
      <c r="R34" s="7">
        <v>20</v>
      </c>
      <c r="S34" s="7" t="s">
        <v>30</v>
      </c>
      <c r="T34" s="7" t="s">
        <v>31</v>
      </c>
      <c r="U34" s="3">
        <f t="shared" si="4"/>
        <v>1840</v>
      </c>
      <c r="V34" s="3" t="s">
        <v>39</v>
      </c>
      <c r="W34" s="7">
        <v>20</v>
      </c>
      <c r="X34" s="7" t="s">
        <v>30</v>
      </c>
      <c r="Y34" s="7" t="s">
        <v>31</v>
      </c>
      <c r="Z34" s="3">
        <f t="shared" si="5"/>
        <v>1840</v>
      </c>
      <c r="ZH34" s="8" t="s">
        <v>101</v>
      </c>
    </row>
    <row r="35" spans="2:684" x14ac:dyDescent="0.2">
      <c r="B35" s="3" t="s">
        <v>37</v>
      </c>
      <c r="C35" s="3"/>
      <c r="D35" s="3" t="s">
        <v>38</v>
      </c>
      <c r="E35" s="3" t="s">
        <v>24</v>
      </c>
      <c r="F35" s="3" t="s">
        <v>319</v>
      </c>
      <c r="G35" s="3" t="s">
        <v>26</v>
      </c>
      <c r="H35" s="7" t="s">
        <v>27</v>
      </c>
      <c r="I35" s="3" t="s">
        <v>28</v>
      </c>
      <c r="J35" s="3" t="s">
        <v>316</v>
      </c>
      <c r="K35" s="7" t="s">
        <v>21</v>
      </c>
      <c r="L35" s="3" t="s">
        <v>320</v>
      </c>
      <c r="M35" s="7">
        <v>10</v>
      </c>
      <c r="N35" s="7" t="s">
        <v>30</v>
      </c>
      <c r="O35" s="7" t="s">
        <v>31</v>
      </c>
      <c r="P35" s="3">
        <f t="shared" si="3"/>
        <v>6900</v>
      </c>
      <c r="Q35" s="3" t="s">
        <v>320</v>
      </c>
      <c r="R35" s="7">
        <v>10</v>
      </c>
      <c r="S35" s="7" t="s">
        <v>30</v>
      </c>
      <c r="T35" s="7" t="s">
        <v>31</v>
      </c>
      <c r="U35" s="3">
        <f t="shared" si="4"/>
        <v>6900</v>
      </c>
      <c r="V35" s="3" t="s">
        <v>320</v>
      </c>
      <c r="W35" s="7">
        <v>10</v>
      </c>
      <c r="X35" s="7" t="s">
        <v>30</v>
      </c>
      <c r="Y35" s="7" t="s">
        <v>31</v>
      </c>
      <c r="Z35" s="3">
        <f t="shared" si="5"/>
        <v>6900</v>
      </c>
      <c r="ZH35" s="8" t="s">
        <v>102</v>
      </c>
    </row>
    <row r="36" spans="2:684" x14ac:dyDescent="0.2">
      <c r="B36" s="3" t="s">
        <v>41</v>
      </c>
      <c r="C36" s="3"/>
      <c r="D36" s="3" t="s">
        <v>42</v>
      </c>
      <c r="E36" s="3" t="s">
        <v>24</v>
      </c>
      <c r="F36" s="3" t="s">
        <v>321</v>
      </c>
      <c r="G36" s="3" t="s">
        <v>26</v>
      </c>
      <c r="H36" s="7" t="s">
        <v>27</v>
      </c>
      <c r="I36" s="3" t="s">
        <v>28</v>
      </c>
      <c r="J36" s="3" t="s">
        <v>316</v>
      </c>
      <c r="K36" s="7" t="s">
        <v>21</v>
      </c>
      <c r="L36" s="3" t="s">
        <v>34</v>
      </c>
      <c r="M36" s="7">
        <v>30</v>
      </c>
      <c r="N36" s="7" t="s">
        <v>30</v>
      </c>
      <c r="O36" s="7" t="s">
        <v>31</v>
      </c>
      <c r="P36" s="3">
        <f t="shared" si="3"/>
        <v>69</v>
      </c>
      <c r="Q36" s="3" t="s">
        <v>34</v>
      </c>
      <c r="R36" s="7">
        <v>30</v>
      </c>
      <c r="S36" s="7" t="s">
        <v>30</v>
      </c>
      <c r="T36" s="7" t="s">
        <v>31</v>
      </c>
      <c r="U36" s="3">
        <f t="shared" si="4"/>
        <v>69</v>
      </c>
      <c r="V36" s="3" t="s">
        <v>34</v>
      </c>
      <c r="W36" s="7">
        <v>30</v>
      </c>
      <c r="X36" s="7" t="s">
        <v>30</v>
      </c>
      <c r="Y36" s="7" t="s">
        <v>31</v>
      </c>
      <c r="Z36" s="3">
        <f t="shared" si="5"/>
        <v>69</v>
      </c>
      <c r="ZH36" s="8" t="s">
        <v>103</v>
      </c>
    </row>
    <row r="37" spans="2:684" x14ac:dyDescent="0.2">
      <c r="B37" s="3" t="s">
        <v>44</v>
      </c>
      <c r="C37" s="3"/>
      <c r="D37" s="3" t="s">
        <v>45</v>
      </c>
      <c r="E37" s="3" t="s">
        <v>24</v>
      </c>
      <c r="F37" s="3" t="s">
        <v>322</v>
      </c>
      <c r="G37" s="3" t="s">
        <v>26</v>
      </c>
      <c r="H37" s="7" t="s">
        <v>27</v>
      </c>
      <c r="I37" s="3" t="s">
        <v>28</v>
      </c>
      <c r="J37" s="3" t="s">
        <v>316</v>
      </c>
      <c r="K37" s="7" t="s">
        <v>21</v>
      </c>
      <c r="L37" s="3" t="s">
        <v>323</v>
      </c>
      <c r="M37" s="7">
        <v>20</v>
      </c>
      <c r="N37" s="7" t="s">
        <v>30</v>
      </c>
      <c r="O37" s="7" t="s">
        <v>31</v>
      </c>
      <c r="P37" s="3">
        <f t="shared" si="3"/>
        <v>2760</v>
      </c>
      <c r="Q37" s="3" t="s">
        <v>323</v>
      </c>
      <c r="R37" s="7">
        <v>20</v>
      </c>
      <c r="S37" s="7" t="s">
        <v>30</v>
      </c>
      <c r="T37" s="7" t="s">
        <v>31</v>
      </c>
      <c r="U37" s="3">
        <f t="shared" si="4"/>
        <v>2760</v>
      </c>
      <c r="V37" s="3" t="s">
        <v>323</v>
      </c>
      <c r="W37" s="7">
        <v>20</v>
      </c>
      <c r="X37" s="7" t="s">
        <v>30</v>
      </c>
      <c r="Y37" s="7" t="s">
        <v>31</v>
      </c>
      <c r="Z37" s="3">
        <f t="shared" si="5"/>
        <v>2760</v>
      </c>
      <c r="ZH37" s="8" t="s">
        <v>104</v>
      </c>
    </row>
    <row r="38" spans="2:684" x14ac:dyDescent="0.2">
      <c r="B38" s="3" t="s">
        <v>48</v>
      </c>
      <c r="C38" s="3"/>
      <c r="D38" s="3" t="s">
        <v>49</v>
      </c>
      <c r="E38" s="3" t="s">
        <v>24</v>
      </c>
      <c r="F38" s="3" t="s">
        <v>324</v>
      </c>
      <c r="G38" s="3" t="s">
        <v>26</v>
      </c>
      <c r="H38" s="7" t="s">
        <v>27</v>
      </c>
      <c r="I38" s="3" t="s">
        <v>28</v>
      </c>
      <c r="J38" s="3" t="s">
        <v>316</v>
      </c>
      <c r="K38" s="7" t="s">
        <v>21</v>
      </c>
      <c r="L38" s="3" t="s">
        <v>325</v>
      </c>
      <c r="M38" s="7">
        <v>11</v>
      </c>
      <c r="N38" s="7" t="s">
        <v>30</v>
      </c>
      <c r="O38" s="7" t="s">
        <v>31</v>
      </c>
      <c r="P38" s="3">
        <f t="shared" si="3"/>
        <v>1049.95</v>
      </c>
      <c r="Q38" s="3" t="s">
        <v>325</v>
      </c>
      <c r="R38" s="7">
        <v>11</v>
      </c>
      <c r="S38" s="7" t="s">
        <v>30</v>
      </c>
      <c r="T38" s="7" t="s">
        <v>31</v>
      </c>
      <c r="U38" s="3">
        <f t="shared" si="4"/>
        <v>1049.95</v>
      </c>
      <c r="V38" s="3" t="s">
        <v>325</v>
      </c>
      <c r="W38" s="7">
        <v>11</v>
      </c>
      <c r="X38" s="7" t="s">
        <v>30</v>
      </c>
      <c r="Y38" s="7" t="s">
        <v>31</v>
      </c>
      <c r="Z38" s="3">
        <f t="shared" si="5"/>
        <v>1049.95</v>
      </c>
      <c r="ZH38" s="8" t="s">
        <v>105</v>
      </c>
    </row>
    <row r="39" spans="2:684" x14ac:dyDescent="0.2">
      <c r="B39" s="3" t="s">
        <v>52</v>
      </c>
      <c r="C39" s="3"/>
      <c r="D39" s="3" t="s">
        <v>53</v>
      </c>
      <c r="E39" s="3" t="s">
        <v>24</v>
      </c>
      <c r="F39" s="3" t="s">
        <v>326</v>
      </c>
      <c r="G39" s="3" t="s">
        <v>26</v>
      </c>
      <c r="H39" s="7" t="s">
        <v>27</v>
      </c>
      <c r="I39" s="3" t="s">
        <v>28</v>
      </c>
      <c r="J39" s="3" t="s">
        <v>316</v>
      </c>
      <c r="K39" s="7" t="s">
        <v>21</v>
      </c>
      <c r="L39" s="3" t="s">
        <v>52</v>
      </c>
      <c r="M39" s="7">
        <v>10</v>
      </c>
      <c r="N39" s="7" t="s">
        <v>30</v>
      </c>
      <c r="O39" s="7" t="s">
        <v>31</v>
      </c>
      <c r="P39" s="3">
        <f t="shared" si="3"/>
        <v>80.5</v>
      </c>
      <c r="Q39" s="3" t="s">
        <v>52</v>
      </c>
      <c r="R39" s="7">
        <v>10</v>
      </c>
      <c r="S39" s="7" t="s">
        <v>30</v>
      </c>
      <c r="T39" s="7" t="s">
        <v>31</v>
      </c>
      <c r="U39" s="3">
        <f t="shared" si="4"/>
        <v>80.5</v>
      </c>
      <c r="V39" s="3" t="s">
        <v>52</v>
      </c>
      <c r="W39" s="7">
        <v>10</v>
      </c>
      <c r="X39" s="7" t="s">
        <v>30</v>
      </c>
      <c r="Y39" s="7" t="s">
        <v>31</v>
      </c>
      <c r="Z39" s="3">
        <f t="shared" si="5"/>
        <v>80.5</v>
      </c>
      <c r="ZH39" s="8" t="s">
        <v>106</v>
      </c>
    </row>
    <row r="40" spans="2:684" x14ac:dyDescent="0.2">
      <c r="B40" s="3" t="s">
        <v>56</v>
      </c>
      <c r="C40" s="3"/>
      <c r="D40" s="3" t="s">
        <v>57</v>
      </c>
      <c r="E40" s="3" t="s">
        <v>24</v>
      </c>
      <c r="F40" s="3" t="s">
        <v>327</v>
      </c>
      <c r="G40" s="3" t="s">
        <v>26</v>
      </c>
      <c r="H40" s="7" t="s">
        <v>27</v>
      </c>
      <c r="I40" s="3" t="s">
        <v>28</v>
      </c>
      <c r="J40" s="3" t="s">
        <v>316</v>
      </c>
      <c r="K40" s="7" t="s">
        <v>21</v>
      </c>
      <c r="L40" s="3" t="s">
        <v>328</v>
      </c>
      <c r="M40" s="7">
        <v>12</v>
      </c>
      <c r="N40" s="7" t="s">
        <v>30</v>
      </c>
      <c r="O40" s="7" t="s">
        <v>31</v>
      </c>
      <c r="P40" s="3">
        <f t="shared" si="3"/>
        <v>12420</v>
      </c>
      <c r="Q40" s="3" t="s">
        <v>328</v>
      </c>
      <c r="R40" s="7">
        <v>12.5</v>
      </c>
      <c r="S40" s="7" t="s">
        <v>30</v>
      </c>
      <c r="T40" s="7" t="s">
        <v>31</v>
      </c>
      <c r="U40" s="3">
        <f t="shared" si="4"/>
        <v>12937.5</v>
      </c>
      <c r="V40" s="3" t="s">
        <v>328</v>
      </c>
      <c r="W40" s="7">
        <v>12.5</v>
      </c>
      <c r="X40" s="7" t="s">
        <v>30</v>
      </c>
      <c r="Y40" s="7" t="s">
        <v>31</v>
      </c>
      <c r="Z40" s="3">
        <f t="shared" si="5"/>
        <v>12937.5</v>
      </c>
      <c r="ZH40" s="8" t="s">
        <v>107</v>
      </c>
    </row>
    <row r="41" spans="2:684" x14ac:dyDescent="0.2">
      <c r="B41" s="3" t="s">
        <v>60</v>
      </c>
      <c r="C41" s="3"/>
      <c r="D41" s="3" t="s">
        <v>61</v>
      </c>
      <c r="E41" s="3" t="s">
        <v>24</v>
      </c>
      <c r="F41" s="3" t="s">
        <v>329</v>
      </c>
      <c r="G41" s="3" t="s">
        <v>26</v>
      </c>
      <c r="H41" s="7" t="s">
        <v>27</v>
      </c>
      <c r="I41" s="3" t="s">
        <v>28</v>
      </c>
      <c r="J41" s="3" t="s">
        <v>316</v>
      </c>
      <c r="K41" s="7" t="s">
        <v>21</v>
      </c>
      <c r="L41" s="3" t="s">
        <v>41</v>
      </c>
      <c r="M41" s="7">
        <v>35</v>
      </c>
      <c r="N41" s="7" t="s">
        <v>30</v>
      </c>
      <c r="O41" s="7" t="s">
        <v>31</v>
      </c>
      <c r="P41" s="3">
        <f t="shared" si="3"/>
        <v>161</v>
      </c>
      <c r="Q41" s="3" t="s">
        <v>41</v>
      </c>
      <c r="R41" s="7">
        <v>35</v>
      </c>
      <c r="S41" s="7" t="s">
        <v>30</v>
      </c>
      <c r="T41" s="7" t="s">
        <v>31</v>
      </c>
      <c r="U41" s="3">
        <f t="shared" si="4"/>
        <v>161</v>
      </c>
      <c r="V41" s="3" t="s">
        <v>41</v>
      </c>
      <c r="W41" s="7">
        <v>35</v>
      </c>
      <c r="X41" s="7" t="s">
        <v>30</v>
      </c>
      <c r="Y41" s="7" t="s">
        <v>31</v>
      </c>
      <c r="Z41" s="3">
        <f t="shared" si="5"/>
        <v>161</v>
      </c>
      <c r="ZH41" s="8" t="s">
        <v>108</v>
      </c>
    </row>
    <row r="42" spans="2:684" x14ac:dyDescent="0.2">
      <c r="B42" s="3" t="s">
        <v>64</v>
      </c>
      <c r="C42" s="3"/>
      <c r="D42" s="3" t="s">
        <v>64</v>
      </c>
      <c r="E42" s="3" t="s">
        <v>24</v>
      </c>
      <c r="F42" s="3" t="s">
        <v>330</v>
      </c>
      <c r="G42" s="3" t="s">
        <v>26</v>
      </c>
      <c r="H42" s="7" t="s">
        <v>27</v>
      </c>
      <c r="I42" s="3" t="s">
        <v>28</v>
      </c>
      <c r="J42" s="3" t="s">
        <v>316</v>
      </c>
      <c r="K42" s="7" t="s">
        <v>21</v>
      </c>
      <c r="L42" s="3" t="s">
        <v>331</v>
      </c>
      <c r="M42" s="7">
        <v>12</v>
      </c>
      <c r="N42" s="7" t="s">
        <v>30</v>
      </c>
      <c r="O42" s="7" t="s">
        <v>31</v>
      </c>
      <c r="P42" s="3">
        <f t="shared" si="3"/>
        <v>303.60000000000002</v>
      </c>
      <c r="Q42" s="3" t="s">
        <v>331</v>
      </c>
      <c r="R42" s="7">
        <v>12.5</v>
      </c>
      <c r="S42" s="7" t="s">
        <v>30</v>
      </c>
      <c r="T42" s="7" t="s">
        <v>31</v>
      </c>
      <c r="U42" s="3">
        <f t="shared" si="4"/>
        <v>316.25</v>
      </c>
      <c r="V42" s="3" t="s">
        <v>331</v>
      </c>
      <c r="W42" s="7">
        <v>12.5</v>
      </c>
      <c r="X42" s="7" t="s">
        <v>30</v>
      </c>
      <c r="Y42" s="7" t="s">
        <v>31</v>
      </c>
      <c r="Z42" s="3">
        <f t="shared" si="5"/>
        <v>316.25</v>
      </c>
      <c r="ZH42" s="8" t="s">
        <v>109</v>
      </c>
    </row>
    <row r="43" spans="2:684" x14ac:dyDescent="0.2">
      <c r="B43" s="3" t="s">
        <v>67</v>
      </c>
      <c r="C43" s="3"/>
      <c r="D43" s="3" t="s">
        <v>67</v>
      </c>
      <c r="E43" s="3" t="s">
        <v>24</v>
      </c>
      <c r="F43" s="3" t="s">
        <v>332</v>
      </c>
      <c r="G43" s="3" t="s">
        <v>26</v>
      </c>
      <c r="H43" s="7" t="s">
        <v>27</v>
      </c>
      <c r="I43" s="3" t="s">
        <v>28</v>
      </c>
      <c r="J43" s="3" t="s">
        <v>316</v>
      </c>
      <c r="K43" s="7" t="s">
        <v>21</v>
      </c>
      <c r="L43" s="3" t="s">
        <v>333</v>
      </c>
      <c r="M43" s="7">
        <v>35</v>
      </c>
      <c r="N43" s="7" t="s">
        <v>30</v>
      </c>
      <c r="O43" s="7" t="s">
        <v>31</v>
      </c>
      <c r="P43" s="3">
        <f t="shared" si="3"/>
        <v>5514.25</v>
      </c>
      <c r="Q43" s="3" t="s">
        <v>333</v>
      </c>
      <c r="R43" s="7">
        <v>35</v>
      </c>
      <c r="S43" s="7" t="s">
        <v>30</v>
      </c>
      <c r="T43" s="7" t="s">
        <v>31</v>
      </c>
      <c r="U43" s="3">
        <f t="shared" si="4"/>
        <v>5514.25</v>
      </c>
      <c r="V43" s="3" t="s">
        <v>333</v>
      </c>
      <c r="W43" s="7">
        <v>35.5</v>
      </c>
      <c r="X43" s="7" t="s">
        <v>30</v>
      </c>
      <c r="Y43" s="7" t="s">
        <v>31</v>
      </c>
      <c r="Z43" s="3">
        <f t="shared" si="5"/>
        <v>5593.0249999999996</v>
      </c>
      <c r="ZH43" s="8" t="s">
        <v>110</v>
      </c>
    </row>
    <row r="44" spans="2:684" x14ac:dyDescent="0.2">
      <c r="B44" s="3" t="s">
        <v>71</v>
      </c>
      <c r="C44" s="3"/>
      <c r="D44" s="3" t="s">
        <v>71</v>
      </c>
      <c r="E44" s="3" t="s">
        <v>24</v>
      </c>
      <c r="F44" s="3" t="s">
        <v>334</v>
      </c>
      <c r="G44" s="3" t="s">
        <v>26</v>
      </c>
      <c r="H44" s="7" t="s">
        <v>27</v>
      </c>
      <c r="I44" s="3" t="s">
        <v>28</v>
      </c>
      <c r="J44" s="3" t="s">
        <v>316</v>
      </c>
      <c r="K44" s="7" t="s">
        <v>21</v>
      </c>
      <c r="L44" s="3" t="s">
        <v>335</v>
      </c>
      <c r="M44" s="7">
        <v>23</v>
      </c>
      <c r="N44" s="7" t="s">
        <v>30</v>
      </c>
      <c r="O44" s="7" t="s">
        <v>31</v>
      </c>
      <c r="P44" s="3">
        <f t="shared" si="3"/>
        <v>5131.3</v>
      </c>
      <c r="Q44" s="3" t="s">
        <v>335</v>
      </c>
      <c r="R44" s="7">
        <v>23</v>
      </c>
      <c r="S44" s="7" t="s">
        <v>30</v>
      </c>
      <c r="T44" s="7" t="s">
        <v>31</v>
      </c>
      <c r="U44" s="3">
        <f t="shared" si="4"/>
        <v>5131.3</v>
      </c>
      <c r="V44" s="3" t="s">
        <v>335</v>
      </c>
      <c r="W44" s="7">
        <v>23</v>
      </c>
      <c r="X44" s="7" t="s">
        <v>30</v>
      </c>
      <c r="Y44" s="7" t="s">
        <v>31</v>
      </c>
      <c r="Z44" s="3">
        <f t="shared" si="5"/>
        <v>5131.3</v>
      </c>
      <c r="ZH44" s="8" t="s">
        <v>111</v>
      </c>
    </row>
    <row r="45" spans="2:684" x14ac:dyDescent="0.2">
      <c r="B45" s="3" t="s">
        <v>74</v>
      </c>
      <c r="C45" s="3"/>
      <c r="D45" s="3" t="s">
        <v>74</v>
      </c>
      <c r="E45" s="3" t="s">
        <v>24</v>
      </c>
      <c r="F45" s="3" t="s">
        <v>336</v>
      </c>
      <c r="G45" s="3" t="s">
        <v>26</v>
      </c>
      <c r="H45" s="7" t="s">
        <v>27</v>
      </c>
      <c r="I45" s="3" t="s">
        <v>28</v>
      </c>
      <c r="J45" s="3" t="s">
        <v>316</v>
      </c>
      <c r="K45" s="7" t="s">
        <v>21</v>
      </c>
      <c r="L45" s="3" t="s">
        <v>337</v>
      </c>
      <c r="M45" s="7">
        <v>25</v>
      </c>
      <c r="N45" s="7" t="s">
        <v>30</v>
      </c>
      <c r="O45" s="7" t="s">
        <v>31</v>
      </c>
      <c r="P45" s="3">
        <f t="shared" si="3"/>
        <v>948.75</v>
      </c>
      <c r="Q45" s="3" t="s">
        <v>337</v>
      </c>
      <c r="R45" s="7">
        <v>25</v>
      </c>
      <c r="S45" s="7" t="s">
        <v>30</v>
      </c>
      <c r="T45" s="7" t="s">
        <v>31</v>
      </c>
      <c r="U45" s="3">
        <f t="shared" si="4"/>
        <v>948.75</v>
      </c>
      <c r="V45" s="3" t="s">
        <v>337</v>
      </c>
      <c r="W45" s="7">
        <v>25</v>
      </c>
      <c r="X45" s="7" t="s">
        <v>30</v>
      </c>
      <c r="Y45" s="7" t="s">
        <v>31</v>
      </c>
      <c r="Z45" s="3">
        <f t="shared" si="5"/>
        <v>948.75</v>
      </c>
      <c r="ZH45" s="8" t="s">
        <v>112</v>
      </c>
    </row>
    <row r="46" spans="2:684" x14ac:dyDescent="0.2">
      <c r="B46" s="3" t="s">
        <v>78</v>
      </c>
      <c r="C46" s="3"/>
      <c r="D46" s="3" t="s">
        <v>78</v>
      </c>
      <c r="E46" s="3" t="s">
        <v>24</v>
      </c>
      <c r="F46" s="3" t="s">
        <v>330</v>
      </c>
      <c r="G46" s="3" t="s">
        <v>26</v>
      </c>
      <c r="H46" s="7" t="s">
        <v>27</v>
      </c>
      <c r="I46" s="3" t="s">
        <v>28</v>
      </c>
      <c r="J46" s="3" t="s">
        <v>316</v>
      </c>
      <c r="K46" s="7" t="s">
        <v>21</v>
      </c>
      <c r="L46" s="3" t="s">
        <v>338</v>
      </c>
      <c r="M46" s="7">
        <v>12</v>
      </c>
      <c r="N46" s="7" t="s">
        <v>30</v>
      </c>
      <c r="O46" s="7" t="s">
        <v>31</v>
      </c>
      <c r="P46" s="3">
        <f t="shared" si="3"/>
        <v>1173</v>
      </c>
      <c r="Q46" s="3" t="s">
        <v>338</v>
      </c>
      <c r="R46" s="7">
        <v>12.5</v>
      </c>
      <c r="S46" s="7" t="s">
        <v>30</v>
      </c>
      <c r="T46" s="7" t="s">
        <v>31</v>
      </c>
      <c r="U46" s="3">
        <f t="shared" si="4"/>
        <v>1221.875</v>
      </c>
      <c r="V46" s="3" t="s">
        <v>338</v>
      </c>
      <c r="W46" s="7">
        <v>13</v>
      </c>
      <c r="X46" s="7" t="s">
        <v>30</v>
      </c>
      <c r="Y46" s="7" t="s">
        <v>31</v>
      </c>
      <c r="Z46" s="3">
        <f t="shared" si="5"/>
        <v>1270.75</v>
      </c>
      <c r="ZH46" s="8" t="s">
        <v>113</v>
      </c>
    </row>
    <row r="47" spans="2:684" x14ac:dyDescent="0.2">
      <c r="ZH47" s="8" t="s">
        <v>114</v>
      </c>
    </row>
    <row r="48" spans="2:684" ht="12" customHeight="1" x14ac:dyDescent="0.2">
      <c r="B48" s="11"/>
      <c r="C48" s="12"/>
      <c r="D48" s="12"/>
      <c r="E48" s="13"/>
      <c r="F48" s="3" t="s">
        <v>405</v>
      </c>
      <c r="G48" s="3" t="s">
        <v>1</v>
      </c>
      <c r="H48" s="3" t="s">
        <v>2</v>
      </c>
      <c r="I48" s="3" t="s">
        <v>406</v>
      </c>
      <c r="ZH48" s="8" t="s">
        <v>115</v>
      </c>
    </row>
    <row r="49" spans="2:684" ht="12" customHeight="1" x14ac:dyDescent="0.2">
      <c r="B49" s="14" t="s">
        <v>402</v>
      </c>
      <c r="C49" s="14"/>
      <c r="D49" s="14"/>
      <c r="E49" s="14"/>
      <c r="F49" s="9">
        <v>51997</v>
      </c>
      <c r="G49" s="9">
        <v>52500.5</v>
      </c>
      <c r="H49" s="9">
        <v>52611.5</v>
      </c>
      <c r="I49" s="9">
        <f>F49+G49+H49</f>
        <v>157109</v>
      </c>
      <c r="ZH49" s="8" t="s">
        <v>116</v>
      </c>
    </row>
    <row r="50" spans="2:684" x14ac:dyDescent="0.2">
      <c r="B50" s="14" t="s">
        <v>403</v>
      </c>
      <c r="C50" s="14"/>
      <c r="D50" s="14"/>
      <c r="E50" s="14"/>
      <c r="F50" s="9">
        <v>7799.55</v>
      </c>
      <c r="G50" s="9">
        <v>7875.08</v>
      </c>
      <c r="H50" s="9">
        <v>7891.73</v>
      </c>
      <c r="I50" s="9">
        <f>F50+G50+H50</f>
        <v>23566.36</v>
      </c>
      <c r="ZH50" s="8" t="s">
        <v>117</v>
      </c>
    </row>
    <row r="51" spans="2:684" ht="12" customHeight="1" x14ac:dyDescent="0.2">
      <c r="B51" s="14" t="s">
        <v>404</v>
      </c>
      <c r="C51" s="14"/>
      <c r="D51" s="14"/>
      <c r="E51" s="14"/>
      <c r="F51" s="9">
        <v>59796.549999999996</v>
      </c>
      <c r="G51" s="9">
        <v>60375.574999999997</v>
      </c>
      <c r="H51" s="9">
        <v>60503.224999999999</v>
      </c>
      <c r="I51" s="9">
        <f>F51+G51+H51</f>
        <v>180675.35</v>
      </c>
      <c r="ZH51" s="8" t="s">
        <v>118</v>
      </c>
    </row>
    <row r="52" spans="2:684" x14ac:dyDescent="0.2">
      <c r="ZH52" s="8" t="s">
        <v>119</v>
      </c>
    </row>
    <row r="53" spans="2:684" x14ac:dyDescent="0.2">
      <c r="ZH53" s="8" t="s">
        <v>120</v>
      </c>
    </row>
    <row r="54" spans="2:684" x14ac:dyDescent="0.2">
      <c r="ZH54" s="8" t="s">
        <v>121</v>
      </c>
    </row>
    <row r="55" spans="2:684" x14ac:dyDescent="0.2">
      <c r="ZH55" s="8" t="s">
        <v>27</v>
      </c>
    </row>
    <row r="56" spans="2:684" x14ac:dyDescent="0.2">
      <c r="B56" s="17" t="s">
        <v>395</v>
      </c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ZH56" s="8" t="s">
        <v>122</v>
      </c>
    </row>
    <row r="57" spans="2:684" x14ac:dyDescent="0.2">
      <c r="B57" s="6"/>
      <c r="C57" s="15" t="s">
        <v>0</v>
      </c>
      <c r="D57" s="16"/>
      <c r="E57" s="16"/>
      <c r="F57" s="16"/>
      <c r="G57" s="15"/>
      <c r="H57" s="15" t="s">
        <v>1</v>
      </c>
      <c r="I57" s="16"/>
      <c r="J57" s="16"/>
      <c r="K57" s="16"/>
      <c r="L57" s="15"/>
      <c r="M57" s="15" t="s">
        <v>2</v>
      </c>
      <c r="N57" s="16"/>
      <c r="O57" s="16"/>
      <c r="P57" s="16"/>
      <c r="Q57" s="15"/>
      <c r="ZH57" s="8" t="s">
        <v>123</v>
      </c>
    </row>
    <row r="58" spans="2:684" x14ac:dyDescent="0.2">
      <c r="B58" s="6" t="s">
        <v>9</v>
      </c>
      <c r="C58" s="5" t="s">
        <v>15</v>
      </c>
      <c r="D58" s="6" t="s">
        <v>16</v>
      </c>
      <c r="E58" s="6" t="s">
        <v>17</v>
      </c>
      <c r="F58" s="6" t="s">
        <v>18</v>
      </c>
      <c r="G58" s="5" t="s">
        <v>19</v>
      </c>
      <c r="H58" s="5" t="s">
        <v>15</v>
      </c>
      <c r="I58" s="6" t="s">
        <v>16</v>
      </c>
      <c r="J58" s="6" t="s">
        <v>17</v>
      </c>
      <c r="K58" s="6" t="s">
        <v>18</v>
      </c>
      <c r="L58" s="5" t="s">
        <v>19</v>
      </c>
      <c r="M58" s="5" t="s">
        <v>15</v>
      </c>
      <c r="N58" s="6" t="s">
        <v>16</v>
      </c>
      <c r="O58" s="6" t="s">
        <v>17</v>
      </c>
      <c r="P58" s="6" t="s">
        <v>18</v>
      </c>
      <c r="Q58" s="5" t="s">
        <v>19</v>
      </c>
      <c r="ZH58" s="8" t="s">
        <v>124</v>
      </c>
    </row>
    <row r="59" spans="2:684" x14ac:dyDescent="0.2">
      <c r="B59" s="7" t="s">
        <v>411</v>
      </c>
      <c r="C59" s="3" t="s">
        <v>339</v>
      </c>
      <c r="D59" s="7" t="s">
        <v>337</v>
      </c>
      <c r="E59" s="7" t="s">
        <v>30</v>
      </c>
      <c r="F59" s="7" t="s">
        <v>31</v>
      </c>
      <c r="G59" s="3">
        <f t="shared" ref="G59:G90" si="6">(((D59*C59)-((D59*C59)*(E59/100)))+(((D59*C59)-((D59*C59)*(E59/100)))*F59/100))</f>
        <v>170661.15</v>
      </c>
      <c r="H59" s="3" t="s">
        <v>339</v>
      </c>
      <c r="I59" s="7" t="s">
        <v>337</v>
      </c>
      <c r="J59" s="7" t="s">
        <v>30</v>
      </c>
      <c r="K59" s="7" t="s">
        <v>31</v>
      </c>
      <c r="L59" s="3">
        <f t="shared" ref="L59:L90" si="7">(((I59*H59)-((I59*H59)*(J59/100)))+(((I59*H59)-((I59*H59)*(J59/100)))*K59/100))</f>
        <v>170661.15</v>
      </c>
      <c r="M59" s="3" t="s">
        <v>339</v>
      </c>
      <c r="N59" s="7" t="s">
        <v>340</v>
      </c>
      <c r="O59" s="7" t="s">
        <v>30</v>
      </c>
      <c r="P59" s="7" t="s">
        <v>31</v>
      </c>
      <c r="Q59" s="3">
        <f t="shared" ref="Q59:Q90" si="8">(((N59*M59)-((N59*M59)*(O59/100)))+(((N59*M59)-((N59*M59)*(O59/100)))*P59/100))</f>
        <v>175832.7</v>
      </c>
      <c r="ZH59" s="8" t="s">
        <v>125</v>
      </c>
    </row>
    <row r="60" spans="2:684" x14ac:dyDescent="0.2">
      <c r="B60" s="7" t="s">
        <v>412</v>
      </c>
      <c r="C60" s="3" t="s">
        <v>341</v>
      </c>
      <c r="D60" s="7" t="s">
        <v>342</v>
      </c>
      <c r="E60" s="7" t="s">
        <v>30</v>
      </c>
      <c r="F60" s="7" t="s">
        <v>31</v>
      </c>
      <c r="G60" s="3">
        <f t="shared" si="6"/>
        <v>194235</v>
      </c>
      <c r="H60" s="3" t="s">
        <v>341</v>
      </c>
      <c r="I60" s="7" t="s">
        <v>342</v>
      </c>
      <c r="J60" s="7" t="s">
        <v>30</v>
      </c>
      <c r="K60" s="7" t="s">
        <v>31</v>
      </c>
      <c r="L60" s="3">
        <f t="shared" si="7"/>
        <v>194235</v>
      </c>
      <c r="M60" s="3" t="s">
        <v>341</v>
      </c>
      <c r="N60" s="7" t="s">
        <v>342</v>
      </c>
      <c r="O60" s="7" t="s">
        <v>30</v>
      </c>
      <c r="P60" s="7" t="s">
        <v>31</v>
      </c>
      <c r="Q60" s="3">
        <f t="shared" si="8"/>
        <v>194235</v>
      </c>
      <c r="ZH60" s="8" t="s">
        <v>126</v>
      </c>
    </row>
    <row r="61" spans="2:684" x14ac:dyDescent="0.2">
      <c r="B61" s="7" t="s">
        <v>413</v>
      </c>
      <c r="C61" s="3" t="s">
        <v>343</v>
      </c>
      <c r="D61" s="7" t="s">
        <v>344</v>
      </c>
      <c r="E61" s="7" t="s">
        <v>30</v>
      </c>
      <c r="F61" s="7" t="s">
        <v>31</v>
      </c>
      <c r="G61" s="3">
        <f t="shared" si="6"/>
        <v>38543.4</v>
      </c>
      <c r="H61" s="3" t="s">
        <v>343</v>
      </c>
      <c r="I61" s="7" t="s">
        <v>344</v>
      </c>
      <c r="J61" s="7" t="s">
        <v>30</v>
      </c>
      <c r="K61" s="7" t="s">
        <v>31</v>
      </c>
      <c r="L61" s="3">
        <f t="shared" si="7"/>
        <v>38543.4</v>
      </c>
      <c r="M61" s="3" t="s">
        <v>343</v>
      </c>
      <c r="N61" s="7" t="s">
        <v>344</v>
      </c>
      <c r="O61" s="7" t="s">
        <v>30</v>
      </c>
      <c r="P61" s="7" t="s">
        <v>31</v>
      </c>
      <c r="Q61" s="3">
        <f t="shared" si="8"/>
        <v>38543.4</v>
      </c>
      <c r="ZH61" s="8" t="s">
        <v>127</v>
      </c>
    </row>
    <row r="62" spans="2:684" x14ac:dyDescent="0.2">
      <c r="B62" s="7" t="s">
        <v>414</v>
      </c>
      <c r="C62" s="3" t="s">
        <v>345</v>
      </c>
      <c r="D62" s="7" t="s">
        <v>344</v>
      </c>
      <c r="E62" s="7" t="s">
        <v>30</v>
      </c>
      <c r="F62" s="7" t="s">
        <v>31</v>
      </c>
      <c r="G62" s="3">
        <f t="shared" si="6"/>
        <v>29076.6</v>
      </c>
      <c r="H62" s="3" t="s">
        <v>345</v>
      </c>
      <c r="I62" s="7" t="s">
        <v>344</v>
      </c>
      <c r="J62" s="7" t="s">
        <v>30</v>
      </c>
      <c r="K62" s="7" t="s">
        <v>31</v>
      </c>
      <c r="L62" s="3">
        <f t="shared" si="7"/>
        <v>29076.6</v>
      </c>
      <c r="M62" s="3" t="s">
        <v>345</v>
      </c>
      <c r="N62" s="7" t="s">
        <v>344</v>
      </c>
      <c r="O62" s="7" t="s">
        <v>30</v>
      </c>
      <c r="P62" s="7" t="s">
        <v>31</v>
      </c>
      <c r="Q62" s="3">
        <f t="shared" si="8"/>
        <v>29076.6</v>
      </c>
      <c r="ZH62" s="8" t="s">
        <v>128</v>
      </c>
    </row>
    <row r="63" spans="2:684" x14ac:dyDescent="0.2">
      <c r="B63" s="7" t="s">
        <v>415</v>
      </c>
      <c r="C63" s="3" t="s">
        <v>346</v>
      </c>
      <c r="D63" s="7" t="s">
        <v>347</v>
      </c>
      <c r="E63" s="7" t="s">
        <v>30</v>
      </c>
      <c r="F63" s="7" t="s">
        <v>31</v>
      </c>
      <c r="G63" s="3">
        <f t="shared" si="6"/>
        <v>14352</v>
      </c>
      <c r="H63" s="3" t="s">
        <v>346</v>
      </c>
      <c r="I63" s="7" t="s">
        <v>347</v>
      </c>
      <c r="J63" s="7" t="s">
        <v>30</v>
      </c>
      <c r="K63" s="7" t="s">
        <v>31</v>
      </c>
      <c r="L63" s="3">
        <f t="shared" si="7"/>
        <v>14352</v>
      </c>
      <c r="M63" s="3" t="s">
        <v>346</v>
      </c>
      <c r="N63" s="7" t="s">
        <v>347</v>
      </c>
      <c r="O63" s="7" t="s">
        <v>30</v>
      </c>
      <c r="P63" s="7" t="s">
        <v>31</v>
      </c>
      <c r="Q63" s="3">
        <f t="shared" si="8"/>
        <v>14352</v>
      </c>
      <c r="ZH63" s="8" t="s">
        <v>129</v>
      </c>
    </row>
    <row r="64" spans="2:684" x14ac:dyDescent="0.2">
      <c r="B64" s="7" t="s">
        <v>416</v>
      </c>
      <c r="C64" s="3" t="s">
        <v>348</v>
      </c>
      <c r="D64" s="7" t="s">
        <v>349</v>
      </c>
      <c r="E64" s="7" t="s">
        <v>30</v>
      </c>
      <c r="F64" s="7" t="s">
        <v>31</v>
      </c>
      <c r="G64" s="3">
        <f t="shared" si="6"/>
        <v>27448.2</v>
      </c>
      <c r="H64" s="3" t="s">
        <v>348</v>
      </c>
      <c r="I64" s="7" t="s">
        <v>349</v>
      </c>
      <c r="J64" s="7" t="s">
        <v>30</v>
      </c>
      <c r="K64" s="7" t="s">
        <v>31</v>
      </c>
      <c r="L64" s="3">
        <f t="shared" si="7"/>
        <v>27448.2</v>
      </c>
      <c r="M64" s="3" t="s">
        <v>348</v>
      </c>
      <c r="N64" s="7" t="s">
        <v>349</v>
      </c>
      <c r="O64" s="7" t="s">
        <v>30</v>
      </c>
      <c r="P64" s="7" t="s">
        <v>31</v>
      </c>
      <c r="Q64" s="3">
        <f t="shared" si="8"/>
        <v>27448.2</v>
      </c>
      <c r="ZH64" s="8" t="s">
        <v>130</v>
      </c>
    </row>
    <row r="65" spans="2:684" x14ac:dyDescent="0.2">
      <c r="B65" s="7" t="s">
        <v>417</v>
      </c>
      <c r="C65" s="3" t="s">
        <v>350</v>
      </c>
      <c r="D65" s="7" t="s">
        <v>349</v>
      </c>
      <c r="E65" s="7" t="s">
        <v>30</v>
      </c>
      <c r="F65" s="7" t="s">
        <v>31</v>
      </c>
      <c r="G65" s="3">
        <f t="shared" si="6"/>
        <v>14665.95</v>
      </c>
      <c r="H65" s="3" t="s">
        <v>350</v>
      </c>
      <c r="I65" s="7" t="s">
        <v>349</v>
      </c>
      <c r="J65" s="7" t="s">
        <v>30</v>
      </c>
      <c r="K65" s="7" t="s">
        <v>31</v>
      </c>
      <c r="L65" s="3">
        <f t="shared" si="7"/>
        <v>14665.95</v>
      </c>
      <c r="M65" s="3" t="s">
        <v>350</v>
      </c>
      <c r="N65" s="7" t="s">
        <v>349</v>
      </c>
      <c r="O65" s="7" t="s">
        <v>30</v>
      </c>
      <c r="P65" s="7" t="s">
        <v>31</v>
      </c>
      <c r="Q65" s="3">
        <f t="shared" si="8"/>
        <v>14665.95</v>
      </c>
      <c r="ZH65" s="8" t="s">
        <v>131</v>
      </c>
    </row>
    <row r="66" spans="2:684" x14ac:dyDescent="0.2">
      <c r="B66" s="7" t="s">
        <v>418</v>
      </c>
      <c r="C66" s="3" t="s">
        <v>351</v>
      </c>
      <c r="D66" s="7" t="s">
        <v>349</v>
      </c>
      <c r="E66" s="7" t="s">
        <v>30</v>
      </c>
      <c r="F66" s="7" t="s">
        <v>31</v>
      </c>
      <c r="G66" s="3">
        <f t="shared" si="6"/>
        <v>20182.5</v>
      </c>
      <c r="H66" s="3" t="s">
        <v>351</v>
      </c>
      <c r="I66" s="7" t="s">
        <v>349</v>
      </c>
      <c r="J66" s="7" t="s">
        <v>30</v>
      </c>
      <c r="K66" s="7" t="s">
        <v>31</v>
      </c>
      <c r="L66" s="3">
        <f t="shared" si="7"/>
        <v>20182.5</v>
      </c>
      <c r="M66" s="3" t="s">
        <v>351</v>
      </c>
      <c r="N66" s="7" t="s">
        <v>349</v>
      </c>
      <c r="O66" s="7" t="s">
        <v>30</v>
      </c>
      <c r="P66" s="7" t="s">
        <v>31</v>
      </c>
      <c r="Q66" s="3">
        <f t="shared" si="8"/>
        <v>20182.5</v>
      </c>
      <c r="ZH66" s="8" t="s">
        <v>132</v>
      </c>
    </row>
    <row r="67" spans="2:684" x14ac:dyDescent="0.2">
      <c r="B67" s="7" t="s">
        <v>419</v>
      </c>
      <c r="C67" s="3" t="s">
        <v>352</v>
      </c>
      <c r="D67" s="7" t="s">
        <v>342</v>
      </c>
      <c r="E67" s="7" t="s">
        <v>30</v>
      </c>
      <c r="F67" s="7" t="s">
        <v>31</v>
      </c>
      <c r="G67" s="3">
        <f t="shared" si="6"/>
        <v>14317.5</v>
      </c>
      <c r="H67" s="3" t="s">
        <v>352</v>
      </c>
      <c r="I67" s="7" t="s">
        <v>342</v>
      </c>
      <c r="J67" s="7" t="s">
        <v>30</v>
      </c>
      <c r="K67" s="7" t="s">
        <v>31</v>
      </c>
      <c r="L67" s="3">
        <f t="shared" si="7"/>
        <v>14317.5</v>
      </c>
      <c r="M67" s="3" t="s">
        <v>352</v>
      </c>
      <c r="N67" s="7" t="s">
        <v>342</v>
      </c>
      <c r="O67" s="7" t="s">
        <v>30</v>
      </c>
      <c r="P67" s="7" t="s">
        <v>31</v>
      </c>
      <c r="Q67" s="3">
        <f t="shared" si="8"/>
        <v>14317.5</v>
      </c>
      <c r="ZH67" s="8" t="s">
        <v>133</v>
      </c>
    </row>
    <row r="68" spans="2:684" x14ac:dyDescent="0.2">
      <c r="B68" s="7" t="s">
        <v>420</v>
      </c>
      <c r="C68" s="3" t="s">
        <v>353</v>
      </c>
      <c r="D68" s="7" t="s">
        <v>342</v>
      </c>
      <c r="E68" s="7" t="s">
        <v>30</v>
      </c>
      <c r="F68" s="7" t="s">
        <v>31</v>
      </c>
      <c r="G68" s="3">
        <f t="shared" si="6"/>
        <v>16560</v>
      </c>
      <c r="H68" s="3" t="s">
        <v>353</v>
      </c>
      <c r="I68" s="7" t="s">
        <v>342</v>
      </c>
      <c r="J68" s="7" t="s">
        <v>30</v>
      </c>
      <c r="K68" s="7" t="s">
        <v>31</v>
      </c>
      <c r="L68" s="3">
        <f t="shared" si="7"/>
        <v>16560</v>
      </c>
      <c r="M68" s="3" t="s">
        <v>353</v>
      </c>
      <c r="N68" s="7" t="s">
        <v>342</v>
      </c>
      <c r="O68" s="7" t="s">
        <v>30</v>
      </c>
      <c r="P68" s="7" t="s">
        <v>31</v>
      </c>
      <c r="Q68" s="3">
        <f t="shared" si="8"/>
        <v>16560</v>
      </c>
      <c r="ZH68" s="8" t="s">
        <v>134</v>
      </c>
    </row>
    <row r="69" spans="2:684" x14ac:dyDescent="0.2">
      <c r="B69" s="7" t="s">
        <v>421</v>
      </c>
      <c r="C69" s="3" t="s">
        <v>354</v>
      </c>
      <c r="D69" s="7" t="s">
        <v>355</v>
      </c>
      <c r="E69" s="7" t="s">
        <v>30</v>
      </c>
      <c r="F69" s="7" t="s">
        <v>31</v>
      </c>
      <c r="G69" s="3">
        <f t="shared" si="6"/>
        <v>37784.400000000001</v>
      </c>
      <c r="H69" s="3" t="s">
        <v>354</v>
      </c>
      <c r="I69" s="7" t="s">
        <v>355</v>
      </c>
      <c r="J69" s="7" t="s">
        <v>30</v>
      </c>
      <c r="K69" s="7" t="s">
        <v>31</v>
      </c>
      <c r="L69" s="3">
        <f t="shared" si="7"/>
        <v>37784.400000000001</v>
      </c>
      <c r="M69" s="3" t="s">
        <v>354</v>
      </c>
      <c r="N69" s="7" t="s">
        <v>355</v>
      </c>
      <c r="O69" s="7" t="s">
        <v>30</v>
      </c>
      <c r="P69" s="7" t="s">
        <v>31</v>
      </c>
      <c r="Q69" s="3">
        <f t="shared" si="8"/>
        <v>37784.400000000001</v>
      </c>
      <c r="ZH69" s="8" t="s">
        <v>135</v>
      </c>
    </row>
    <row r="70" spans="2:684" x14ac:dyDescent="0.2">
      <c r="B70" s="7" t="s">
        <v>422</v>
      </c>
      <c r="C70" s="3" t="s">
        <v>356</v>
      </c>
      <c r="D70" s="7" t="s">
        <v>357</v>
      </c>
      <c r="E70" s="7" t="s">
        <v>30</v>
      </c>
      <c r="F70" s="7" t="s">
        <v>31</v>
      </c>
      <c r="G70" s="3">
        <f t="shared" si="6"/>
        <v>57787.5</v>
      </c>
      <c r="H70" s="3" t="s">
        <v>356</v>
      </c>
      <c r="I70" s="7" t="s">
        <v>357</v>
      </c>
      <c r="J70" s="7" t="s">
        <v>30</v>
      </c>
      <c r="K70" s="7" t="s">
        <v>31</v>
      </c>
      <c r="L70" s="3">
        <f t="shared" si="7"/>
        <v>57787.5</v>
      </c>
      <c r="M70" s="3" t="s">
        <v>356</v>
      </c>
      <c r="N70" s="7" t="s">
        <v>357</v>
      </c>
      <c r="O70" s="7" t="s">
        <v>30</v>
      </c>
      <c r="P70" s="7" t="s">
        <v>31</v>
      </c>
      <c r="Q70" s="3">
        <f t="shared" si="8"/>
        <v>57787.5</v>
      </c>
      <c r="ZH70" s="8" t="s">
        <v>136</v>
      </c>
    </row>
    <row r="71" spans="2:684" x14ac:dyDescent="0.2">
      <c r="B71" s="7" t="s">
        <v>423</v>
      </c>
      <c r="C71" s="3" t="s">
        <v>358</v>
      </c>
      <c r="D71" s="7" t="s">
        <v>359</v>
      </c>
      <c r="E71" s="7" t="s">
        <v>30</v>
      </c>
      <c r="F71" s="7" t="s">
        <v>31</v>
      </c>
      <c r="G71" s="3">
        <f t="shared" si="6"/>
        <v>21031.200000000001</v>
      </c>
      <c r="H71" s="3" t="s">
        <v>358</v>
      </c>
      <c r="I71" s="7" t="s">
        <v>359</v>
      </c>
      <c r="J71" s="7" t="s">
        <v>30</v>
      </c>
      <c r="K71" s="7" t="s">
        <v>31</v>
      </c>
      <c r="L71" s="3">
        <f t="shared" si="7"/>
        <v>21031.200000000001</v>
      </c>
      <c r="M71" s="3" t="s">
        <v>358</v>
      </c>
      <c r="N71" s="7" t="s">
        <v>359</v>
      </c>
      <c r="O71" s="7" t="s">
        <v>30</v>
      </c>
      <c r="P71" s="7" t="s">
        <v>31</v>
      </c>
      <c r="Q71" s="3">
        <f t="shared" si="8"/>
        <v>21031.200000000001</v>
      </c>
      <c r="ZH71" s="8" t="s">
        <v>137</v>
      </c>
    </row>
    <row r="72" spans="2:684" x14ac:dyDescent="0.2">
      <c r="B72" s="7" t="s">
        <v>424</v>
      </c>
      <c r="C72" s="3" t="s">
        <v>360</v>
      </c>
      <c r="D72" s="7" t="s">
        <v>349</v>
      </c>
      <c r="E72" s="7" t="s">
        <v>30</v>
      </c>
      <c r="F72" s="7" t="s">
        <v>31</v>
      </c>
      <c r="G72" s="3">
        <f t="shared" si="6"/>
        <v>13724.1</v>
      </c>
      <c r="H72" s="3" t="s">
        <v>360</v>
      </c>
      <c r="I72" s="7" t="s">
        <v>349</v>
      </c>
      <c r="J72" s="7" t="s">
        <v>30</v>
      </c>
      <c r="K72" s="7" t="s">
        <v>31</v>
      </c>
      <c r="L72" s="3">
        <f t="shared" si="7"/>
        <v>13724.1</v>
      </c>
      <c r="M72" s="3" t="s">
        <v>360</v>
      </c>
      <c r="N72" s="7" t="s">
        <v>349</v>
      </c>
      <c r="O72" s="7" t="s">
        <v>30</v>
      </c>
      <c r="P72" s="7" t="s">
        <v>31</v>
      </c>
      <c r="Q72" s="3">
        <f t="shared" si="8"/>
        <v>13724.1</v>
      </c>
      <c r="ZH72" s="8" t="s">
        <v>138</v>
      </c>
    </row>
    <row r="73" spans="2:684" x14ac:dyDescent="0.2">
      <c r="B73" s="7" t="s">
        <v>425</v>
      </c>
      <c r="C73" s="3" t="s">
        <v>361</v>
      </c>
      <c r="D73" s="7" t="s">
        <v>349</v>
      </c>
      <c r="E73" s="7" t="s">
        <v>30</v>
      </c>
      <c r="F73" s="7" t="s">
        <v>31</v>
      </c>
      <c r="G73" s="3">
        <f t="shared" si="6"/>
        <v>7534.8</v>
      </c>
      <c r="H73" s="3" t="s">
        <v>361</v>
      </c>
      <c r="I73" s="7" t="s">
        <v>349</v>
      </c>
      <c r="J73" s="7" t="s">
        <v>30</v>
      </c>
      <c r="K73" s="7" t="s">
        <v>31</v>
      </c>
      <c r="L73" s="3">
        <f t="shared" si="7"/>
        <v>7534.8</v>
      </c>
      <c r="M73" s="3" t="s">
        <v>361</v>
      </c>
      <c r="N73" s="7" t="s">
        <v>349</v>
      </c>
      <c r="O73" s="7" t="s">
        <v>30</v>
      </c>
      <c r="P73" s="7" t="s">
        <v>31</v>
      </c>
      <c r="Q73" s="3">
        <f t="shared" si="8"/>
        <v>7534.8</v>
      </c>
      <c r="ZH73" s="8" t="s">
        <v>139</v>
      </c>
    </row>
    <row r="74" spans="2:684" x14ac:dyDescent="0.2">
      <c r="B74" s="7" t="s">
        <v>426</v>
      </c>
      <c r="C74" s="3" t="s">
        <v>362</v>
      </c>
      <c r="D74" s="7" t="s">
        <v>349</v>
      </c>
      <c r="E74" s="7" t="s">
        <v>30</v>
      </c>
      <c r="F74" s="7" t="s">
        <v>31</v>
      </c>
      <c r="G74" s="3">
        <f t="shared" si="6"/>
        <v>15473.25</v>
      </c>
      <c r="H74" s="3" t="s">
        <v>362</v>
      </c>
      <c r="I74" s="7" t="s">
        <v>349</v>
      </c>
      <c r="J74" s="7" t="s">
        <v>30</v>
      </c>
      <c r="K74" s="7" t="s">
        <v>31</v>
      </c>
      <c r="L74" s="3">
        <f t="shared" si="7"/>
        <v>15473.25</v>
      </c>
      <c r="M74" s="3" t="s">
        <v>362</v>
      </c>
      <c r="N74" s="7" t="s">
        <v>349</v>
      </c>
      <c r="O74" s="7" t="s">
        <v>30</v>
      </c>
      <c r="P74" s="7" t="s">
        <v>31</v>
      </c>
      <c r="Q74" s="3">
        <f t="shared" si="8"/>
        <v>15473.25</v>
      </c>
      <c r="ZH74" s="8" t="s">
        <v>140</v>
      </c>
    </row>
    <row r="75" spans="2:684" x14ac:dyDescent="0.2">
      <c r="B75" s="7" t="s">
        <v>427</v>
      </c>
      <c r="C75" s="3" t="s">
        <v>363</v>
      </c>
      <c r="D75" s="7" t="s">
        <v>364</v>
      </c>
      <c r="E75" s="7" t="s">
        <v>30</v>
      </c>
      <c r="F75" s="7" t="s">
        <v>31</v>
      </c>
      <c r="G75" s="3">
        <f t="shared" si="6"/>
        <v>8694</v>
      </c>
      <c r="H75" s="3" t="s">
        <v>363</v>
      </c>
      <c r="I75" s="7" t="s">
        <v>364</v>
      </c>
      <c r="J75" s="7" t="s">
        <v>30</v>
      </c>
      <c r="K75" s="7" t="s">
        <v>31</v>
      </c>
      <c r="L75" s="3">
        <f t="shared" si="7"/>
        <v>8694</v>
      </c>
      <c r="M75" s="3" t="s">
        <v>363</v>
      </c>
      <c r="N75" s="7" t="s">
        <v>364</v>
      </c>
      <c r="O75" s="7" t="s">
        <v>30</v>
      </c>
      <c r="P75" s="7" t="s">
        <v>31</v>
      </c>
      <c r="Q75" s="3">
        <f t="shared" si="8"/>
        <v>8694</v>
      </c>
      <c r="ZH75" s="8" t="s">
        <v>141</v>
      </c>
    </row>
    <row r="76" spans="2:684" x14ac:dyDescent="0.2">
      <c r="B76" s="7" t="s">
        <v>428</v>
      </c>
      <c r="C76" s="3" t="s">
        <v>365</v>
      </c>
      <c r="D76" s="7" t="s">
        <v>349</v>
      </c>
      <c r="E76" s="7" t="s">
        <v>30</v>
      </c>
      <c r="F76" s="7" t="s">
        <v>31</v>
      </c>
      <c r="G76" s="3">
        <f t="shared" si="6"/>
        <v>8880.2999999999993</v>
      </c>
      <c r="H76" s="3" t="s">
        <v>365</v>
      </c>
      <c r="I76" s="7" t="s">
        <v>349</v>
      </c>
      <c r="J76" s="7" t="s">
        <v>30</v>
      </c>
      <c r="K76" s="7" t="s">
        <v>31</v>
      </c>
      <c r="L76" s="3">
        <f t="shared" si="7"/>
        <v>8880.2999999999993</v>
      </c>
      <c r="M76" s="3" t="s">
        <v>365</v>
      </c>
      <c r="N76" s="7" t="s">
        <v>349</v>
      </c>
      <c r="O76" s="7" t="s">
        <v>30</v>
      </c>
      <c r="P76" s="7" t="s">
        <v>31</v>
      </c>
      <c r="Q76" s="3">
        <f t="shared" si="8"/>
        <v>8880.2999999999993</v>
      </c>
      <c r="ZH76" s="8" t="s">
        <v>142</v>
      </c>
    </row>
    <row r="77" spans="2:684" x14ac:dyDescent="0.2">
      <c r="B77" s="7" t="s">
        <v>429</v>
      </c>
      <c r="C77" s="3" t="s">
        <v>366</v>
      </c>
      <c r="D77" s="7" t="s">
        <v>367</v>
      </c>
      <c r="E77" s="7" t="s">
        <v>30</v>
      </c>
      <c r="F77" s="7" t="s">
        <v>31</v>
      </c>
      <c r="G77" s="3">
        <f t="shared" si="6"/>
        <v>9470.25</v>
      </c>
      <c r="H77" s="3" t="s">
        <v>366</v>
      </c>
      <c r="I77" s="7" t="s">
        <v>367</v>
      </c>
      <c r="J77" s="7" t="s">
        <v>30</v>
      </c>
      <c r="K77" s="7" t="s">
        <v>31</v>
      </c>
      <c r="L77" s="3">
        <f t="shared" si="7"/>
        <v>9470.25</v>
      </c>
      <c r="M77" s="3" t="s">
        <v>366</v>
      </c>
      <c r="N77" s="7" t="s">
        <v>367</v>
      </c>
      <c r="O77" s="7" t="s">
        <v>30</v>
      </c>
      <c r="P77" s="7" t="s">
        <v>31</v>
      </c>
      <c r="Q77" s="3">
        <f t="shared" si="8"/>
        <v>9470.25</v>
      </c>
      <c r="ZH77" s="8" t="s">
        <v>143</v>
      </c>
    </row>
    <row r="78" spans="2:684" x14ac:dyDescent="0.2">
      <c r="B78" s="7" t="s">
        <v>430</v>
      </c>
      <c r="C78" s="3" t="s">
        <v>368</v>
      </c>
      <c r="D78" s="7" t="s">
        <v>367</v>
      </c>
      <c r="E78" s="7" t="s">
        <v>30</v>
      </c>
      <c r="F78" s="7" t="s">
        <v>31</v>
      </c>
      <c r="G78" s="3">
        <f t="shared" si="6"/>
        <v>7762.5</v>
      </c>
      <c r="H78" s="3" t="s">
        <v>368</v>
      </c>
      <c r="I78" s="7" t="s">
        <v>367</v>
      </c>
      <c r="J78" s="7" t="s">
        <v>30</v>
      </c>
      <c r="K78" s="7" t="s">
        <v>31</v>
      </c>
      <c r="L78" s="3">
        <f t="shared" si="7"/>
        <v>7762.5</v>
      </c>
      <c r="M78" s="3" t="s">
        <v>368</v>
      </c>
      <c r="N78" s="7" t="s">
        <v>367</v>
      </c>
      <c r="O78" s="7" t="s">
        <v>30</v>
      </c>
      <c r="P78" s="7" t="s">
        <v>31</v>
      </c>
      <c r="Q78" s="3">
        <f t="shared" si="8"/>
        <v>7762.5</v>
      </c>
      <c r="ZH78" s="8" t="s">
        <v>144</v>
      </c>
    </row>
    <row r="79" spans="2:684" x14ac:dyDescent="0.2">
      <c r="B79" s="7" t="s">
        <v>431</v>
      </c>
      <c r="C79" s="3" t="s">
        <v>369</v>
      </c>
      <c r="D79" s="7" t="s">
        <v>367</v>
      </c>
      <c r="E79" s="7" t="s">
        <v>30</v>
      </c>
      <c r="F79" s="7" t="s">
        <v>31</v>
      </c>
      <c r="G79" s="3">
        <f t="shared" si="6"/>
        <v>6365.25</v>
      </c>
      <c r="H79" s="3" t="s">
        <v>369</v>
      </c>
      <c r="I79" s="7" t="s">
        <v>367</v>
      </c>
      <c r="J79" s="7" t="s">
        <v>30</v>
      </c>
      <c r="K79" s="7" t="s">
        <v>31</v>
      </c>
      <c r="L79" s="3">
        <f t="shared" si="7"/>
        <v>6365.25</v>
      </c>
      <c r="M79" s="3" t="s">
        <v>369</v>
      </c>
      <c r="N79" s="7" t="s">
        <v>367</v>
      </c>
      <c r="O79" s="7" t="s">
        <v>30</v>
      </c>
      <c r="P79" s="7" t="s">
        <v>31</v>
      </c>
      <c r="Q79" s="3">
        <f t="shared" si="8"/>
        <v>6365.25</v>
      </c>
      <c r="ZH79" s="8" t="s">
        <v>145</v>
      </c>
    </row>
    <row r="80" spans="2:684" x14ac:dyDescent="0.2">
      <c r="B80" s="7" t="s">
        <v>432</v>
      </c>
      <c r="C80" s="3" t="s">
        <v>370</v>
      </c>
      <c r="D80" s="7" t="s">
        <v>367</v>
      </c>
      <c r="E80" s="7" t="s">
        <v>30</v>
      </c>
      <c r="F80" s="7" t="s">
        <v>31</v>
      </c>
      <c r="G80" s="3">
        <f t="shared" si="6"/>
        <v>5278.5</v>
      </c>
      <c r="H80" s="3" t="s">
        <v>370</v>
      </c>
      <c r="I80" s="7" t="s">
        <v>367</v>
      </c>
      <c r="J80" s="7" t="s">
        <v>30</v>
      </c>
      <c r="K80" s="7" t="s">
        <v>31</v>
      </c>
      <c r="L80" s="3">
        <f t="shared" si="7"/>
        <v>5278.5</v>
      </c>
      <c r="M80" s="3" t="s">
        <v>370</v>
      </c>
      <c r="N80" s="7" t="s">
        <v>367</v>
      </c>
      <c r="O80" s="7" t="s">
        <v>30</v>
      </c>
      <c r="P80" s="7" t="s">
        <v>31</v>
      </c>
      <c r="Q80" s="3">
        <f t="shared" si="8"/>
        <v>5278.5</v>
      </c>
      <c r="ZH80" s="8" t="s">
        <v>146</v>
      </c>
    </row>
    <row r="81" spans="2:684" x14ac:dyDescent="0.2">
      <c r="B81" s="7" t="s">
        <v>433</v>
      </c>
      <c r="C81" s="3" t="s">
        <v>371</v>
      </c>
      <c r="D81" s="7" t="s">
        <v>367</v>
      </c>
      <c r="E81" s="7" t="s">
        <v>30</v>
      </c>
      <c r="F81" s="7" t="s">
        <v>31</v>
      </c>
      <c r="G81" s="3">
        <f t="shared" si="6"/>
        <v>4347</v>
      </c>
      <c r="H81" s="3" t="s">
        <v>371</v>
      </c>
      <c r="I81" s="7" t="s">
        <v>367</v>
      </c>
      <c r="J81" s="7" t="s">
        <v>30</v>
      </c>
      <c r="K81" s="7" t="s">
        <v>31</v>
      </c>
      <c r="L81" s="3">
        <f t="shared" si="7"/>
        <v>4347</v>
      </c>
      <c r="M81" s="3" t="s">
        <v>371</v>
      </c>
      <c r="N81" s="7" t="s">
        <v>367</v>
      </c>
      <c r="O81" s="7" t="s">
        <v>30</v>
      </c>
      <c r="P81" s="7" t="s">
        <v>31</v>
      </c>
      <c r="Q81" s="3">
        <f t="shared" si="8"/>
        <v>4347</v>
      </c>
      <c r="ZH81" s="8" t="s">
        <v>147</v>
      </c>
    </row>
    <row r="82" spans="2:684" x14ac:dyDescent="0.2">
      <c r="B82" s="7" t="s">
        <v>434</v>
      </c>
      <c r="C82" s="3" t="s">
        <v>369</v>
      </c>
      <c r="D82" s="7" t="s">
        <v>367</v>
      </c>
      <c r="E82" s="7" t="s">
        <v>30</v>
      </c>
      <c r="F82" s="7" t="s">
        <v>31</v>
      </c>
      <c r="G82" s="3">
        <f t="shared" si="6"/>
        <v>6365.25</v>
      </c>
      <c r="H82" s="3" t="s">
        <v>369</v>
      </c>
      <c r="I82" s="7" t="s">
        <v>367</v>
      </c>
      <c r="J82" s="7" t="s">
        <v>30</v>
      </c>
      <c r="K82" s="7" t="s">
        <v>31</v>
      </c>
      <c r="L82" s="3">
        <f t="shared" si="7"/>
        <v>6365.25</v>
      </c>
      <c r="M82" s="3" t="s">
        <v>369</v>
      </c>
      <c r="N82" s="7" t="s">
        <v>367</v>
      </c>
      <c r="O82" s="7" t="s">
        <v>30</v>
      </c>
      <c r="P82" s="7" t="s">
        <v>31</v>
      </c>
      <c r="Q82" s="3">
        <f t="shared" si="8"/>
        <v>6365.25</v>
      </c>
      <c r="ZH82" s="8" t="s">
        <v>148</v>
      </c>
    </row>
    <row r="83" spans="2:684" x14ac:dyDescent="0.2">
      <c r="B83" s="7" t="s">
        <v>435</v>
      </c>
      <c r="C83" s="3" t="s">
        <v>372</v>
      </c>
      <c r="D83" s="7" t="s">
        <v>367</v>
      </c>
      <c r="E83" s="7" t="s">
        <v>30</v>
      </c>
      <c r="F83" s="7" t="s">
        <v>31</v>
      </c>
      <c r="G83" s="3">
        <f t="shared" si="6"/>
        <v>3415.5</v>
      </c>
      <c r="H83" s="3" t="s">
        <v>372</v>
      </c>
      <c r="I83" s="7" t="s">
        <v>367</v>
      </c>
      <c r="J83" s="7" t="s">
        <v>30</v>
      </c>
      <c r="K83" s="7" t="s">
        <v>31</v>
      </c>
      <c r="L83" s="3">
        <f t="shared" si="7"/>
        <v>3415.5</v>
      </c>
      <c r="M83" s="3" t="s">
        <v>372</v>
      </c>
      <c r="N83" s="7" t="s">
        <v>367</v>
      </c>
      <c r="O83" s="7" t="s">
        <v>30</v>
      </c>
      <c r="P83" s="7" t="s">
        <v>31</v>
      </c>
      <c r="Q83" s="3">
        <f t="shared" si="8"/>
        <v>3415.5</v>
      </c>
      <c r="ZH83" s="8" t="s">
        <v>149</v>
      </c>
    </row>
    <row r="84" spans="2:684" x14ac:dyDescent="0.2">
      <c r="B84" s="7" t="s">
        <v>436</v>
      </c>
      <c r="C84" s="3" t="s">
        <v>373</v>
      </c>
      <c r="D84" s="7" t="s">
        <v>367</v>
      </c>
      <c r="E84" s="7" t="s">
        <v>30</v>
      </c>
      <c r="F84" s="7" t="s">
        <v>31</v>
      </c>
      <c r="G84" s="3">
        <f t="shared" si="6"/>
        <v>6986.25</v>
      </c>
      <c r="H84" s="3" t="s">
        <v>373</v>
      </c>
      <c r="I84" s="7" t="s">
        <v>367</v>
      </c>
      <c r="J84" s="7" t="s">
        <v>30</v>
      </c>
      <c r="K84" s="7" t="s">
        <v>31</v>
      </c>
      <c r="L84" s="3">
        <f t="shared" si="7"/>
        <v>6986.25</v>
      </c>
      <c r="M84" s="3" t="s">
        <v>373</v>
      </c>
      <c r="N84" s="7" t="s">
        <v>367</v>
      </c>
      <c r="O84" s="7" t="s">
        <v>30</v>
      </c>
      <c r="P84" s="7" t="s">
        <v>31</v>
      </c>
      <c r="Q84" s="3">
        <f t="shared" si="8"/>
        <v>6986.25</v>
      </c>
      <c r="ZH84" s="8" t="s">
        <v>150</v>
      </c>
    </row>
    <row r="85" spans="2:684" x14ac:dyDescent="0.2">
      <c r="B85" s="7" t="s">
        <v>437</v>
      </c>
      <c r="C85" s="3" t="s">
        <v>374</v>
      </c>
      <c r="D85" s="7" t="s">
        <v>375</v>
      </c>
      <c r="E85" s="7" t="s">
        <v>30</v>
      </c>
      <c r="F85" s="7" t="s">
        <v>31</v>
      </c>
      <c r="G85" s="3">
        <f t="shared" si="6"/>
        <v>16059.75</v>
      </c>
      <c r="H85" s="3" t="s">
        <v>374</v>
      </c>
      <c r="I85" s="7" t="s">
        <v>375</v>
      </c>
      <c r="J85" s="7" t="s">
        <v>30</v>
      </c>
      <c r="K85" s="7" t="s">
        <v>31</v>
      </c>
      <c r="L85" s="3">
        <f t="shared" si="7"/>
        <v>16059.75</v>
      </c>
      <c r="M85" s="3" t="s">
        <v>374</v>
      </c>
      <c r="N85" s="7" t="s">
        <v>375</v>
      </c>
      <c r="O85" s="7" t="s">
        <v>30</v>
      </c>
      <c r="P85" s="7" t="s">
        <v>31</v>
      </c>
      <c r="Q85" s="3">
        <f t="shared" si="8"/>
        <v>16059.75</v>
      </c>
      <c r="ZH85" s="8" t="s">
        <v>151</v>
      </c>
    </row>
    <row r="86" spans="2:684" x14ac:dyDescent="0.2">
      <c r="B86" s="7" t="s">
        <v>438</v>
      </c>
      <c r="C86" s="3" t="s">
        <v>376</v>
      </c>
      <c r="D86" s="7" t="s">
        <v>349</v>
      </c>
      <c r="E86" s="7" t="s">
        <v>30</v>
      </c>
      <c r="F86" s="7" t="s">
        <v>31</v>
      </c>
      <c r="G86" s="3">
        <f t="shared" si="6"/>
        <v>3901.95</v>
      </c>
      <c r="H86" s="3" t="s">
        <v>376</v>
      </c>
      <c r="I86" s="7" t="s">
        <v>349</v>
      </c>
      <c r="J86" s="7" t="s">
        <v>30</v>
      </c>
      <c r="K86" s="7" t="s">
        <v>31</v>
      </c>
      <c r="L86" s="3">
        <f t="shared" si="7"/>
        <v>3901.95</v>
      </c>
      <c r="M86" s="3" t="s">
        <v>376</v>
      </c>
      <c r="N86" s="7" t="s">
        <v>349</v>
      </c>
      <c r="O86" s="7" t="s">
        <v>30</v>
      </c>
      <c r="P86" s="7" t="s">
        <v>31</v>
      </c>
      <c r="Q86" s="3">
        <f t="shared" si="8"/>
        <v>3901.95</v>
      </c>
      <c r="ZH86" s="8" t="s">
        <v>152</v>
      </c>
    </row>
    <row r="87" spans="2:684" x14ac:dyDescent="0.2">
      <c r="B87" s="7" t="s">
        <v>439</v>
      </c>
      <c r="C87" s="3" t="s">
        <v>377</v>
      </c>
      <c r="D87" s="7" t="s">
        <v>349</v>
      </c>
      <c r="E87" s="7" t="s">
        <v>30</v>
      </c>
      <c r="F87" s="7" t="s">
        <v>31</v>
      </c>
      <c r="G87" s="3">
        <f t="shared" si="6"/>
        <v>2825.55</v>
      </c>
      <c r="H87" s="3" t="s">
        <v>377</v>
      </c>
      <c r="I87" s="7" t="s">
        <v>349</v>
      </c>
      <c r="J87" s="7" t="s">
        <v>30</v>
      </c>
      <c r="K87" s="7" t="s">
        <v>31</v>
      </c>
      <c r="L87" s="3">
        <f t="shared" si="7"/>
        <v>2825.55</v>
      </c>
      <c r="M87" s="3" t="s">
        <v>377</v>
      </c>
      <c r="N87" s="7" t="s">
        <v>349</v>
      </c>
      <c r="O87" s="7" t="s">
        <v>30</v>
      </c>
      <c r="P87" s="7" t="s">
        <v>31</v>
      </c>
      <c r="Q87" s="3">
        <f t="shared" si="8"/>
        <v>2825.55</v>
      </c>
      <c r="ZH87" s="8" t="s">
        <v>153</v>
      </c>
    </row>
    <row r="88" spans="2:684" x14ac:dyDescent="0.2">
      <c r="B88" s="7" t="s">
        <v>440</v>
      </c>
      <c r="C88" s="3" t="s">
        <v>378</v>
      </c>
      <c r="D88" s="7" t="s">
        <v>367</v>
      </c>
      <c r="E88" s="7" t="s">
        <v>30</v>
      </c>
      <c r="F88" s="7" t="s">
        <v>31</v>
      </c>
      <c r="G88" s="3">
        <f t="shared" si="6"/>
        <v>7452</v>
      </c>
      <c r="H88" s="3" t="s">
        <v>378</v>
      </c>
      <c r="I88" s="7" t="s">
        <v>367</v>
      </c>
      <c r="J88" s="7" t="s">
        <v>30</v>
      </c>
      <c r="K88" s="7" t="s">
        <v>31</v>
      </c>
      <c r="L88" s="3">
        <f t="shared" si="7"/>
        <v>7452</v>
      </c>
      <c r="M88" s="3" t="s">
        <v>378</v>
      </c>
      <c r="N88" s="7" t="s">
        <v>367</v>
      </c>
      <c r="O88" s="7" t="s">
        <v>30</v>
      </c>
      <c r="P88" s="7" t="s">
        <v>31</v>
      </c>
      <c r="Q88" s="3">
        <f t="shared" si="8"/>
        <v>7452</v>
      </c>
      <c r="ZH88" s="8" t="s">
        <v>154</v>
      </c>
    </row>
    <row r="89" spans="2:684" x14ac:dyDescent="0.2">
      <c r="B89" s="7" t="s">
        <v>441</v>
      </c>
      <c r="C89" s="3" t="s">
        <v>379</v>
      </c>
      <c r="D89" s="7" t="s">
        <v>349</v>
      </c>
      <c r="E89" s="7" t="s">
        <v>30</v>
      </c>
      <c r="F89" s="7" t="s">
        <v>31</v>
      </c>
      <c r="G89" s="3">
        <f t="shared" si="6"/>
        <v>2287.35</v>
      </c>
      <c r="H89" s="3" t="s">
        <v>379</v>
      </c>
      <c r="I89" s="7" t="s">
        <v>349</v>
      </c>
      <c r="J89" s="7" t="s">
        <v>30</v>
      </c>
      <c r="K89" s="7" t="s">
        <v>31</v>
      </c>
      <c r="L89" s="3">
        <f t="shared" si="7"/>
        <v>2287.35</v>
      </c>
      <c r="M89" s="3" t="s">
        <v>379</v>
      </c>
      <c r="N89" s="7" t="s">
        <v>349</v>
      </c>
      <c r="O89" s="7" t="s">
        <v>30</v>
      </c>
      <c r="P89" s="7" t="s">
        <v>31</v>
      </c>
      <c r="Q89" s="3">
        <f t="shared" si="8"/>
        <v>2287.35</v>
      </c>
      <c r="ZH89" s="8" t="s">
        <v>155</v>
      </c>
    </row>
    <row r="90" spans="2:684" x14ac:dyDescent="0.2">
      <c r="B90" s="7" t="s">
        <v>442</v>
      </c>
      <c r="C90" s="3" t="s">
        <v>372</v>
      </c>
      <c r="D90" s="7" t="s">
        <v>349</v>
      </c>
      <c r="E90" s="7" t="s">
        <v>30</v>
      </c>
      <c r="F90" s="7" t="s">
        <v>31</v>
      </c>
      <c r="G90" s="3">
        <f t="shared" si="6"/>
        <v>2960.1</v>
      </c>
      <c r="H90" s="3" t="s">
        <v>372</v>
      </c>
      <c r="I90" s="7" t="s">
        <v>349</v>
      </c>
      <c r="J90" s="7" t="s">
        <v>30</v>
      </c>
      <c r="K90" s="7" t="s">
        <v>31</v>
      </c>
      <c r="L90" s="3">
        <f t="shared" si="7"/>
        <v>2960.1</v>
      </c>
      <c r="M90" s="3" t="s">
        <v>372</v>
      </c>
      <c r="N90" s="7" t="s">
        <v>349</v>
      </c>
      <c r="O90" s="7" t="s">
        <v>30</v>
      </c>
      <c r="P90" s="7" t="s">
        <v>31</v>
      </c>
      <c r="Q90" s="3">
        <f t="shared" si="8"/>
        <v>2960.1</v>
      </c>
      <c r="ZH90" s="8" t="s">
        <v>156</v>
      </c>
    </row>
    <row r="91" spans="2:684" x14ac:dyDescent="0.2">
      <c r="B91" s="7" t="s">
        <v>443</v>
      </c>
      <c r="C91" s="3" t="s">
        <v>367</v>
      </c>
      <c r="D91" s="7" t="s">
        <v>380</v>
      </c>
      <c r="E91" s="7" t="s">
        <v>30</v>
      </c>
      <c r="F91" s="7" t="s">
        <v>31</v>
      </c>
      <c r="G91" s="3">
        <f t="shared" ref="G91:G122" si="9">(((D91*C91)-((D91*C91)*(E91/100)))+(((D91*C91)-((D91*C91)*(E91/100)))*F91/100))</f>
        <v>2121.75</v>
      </c>
      <c r="H91" s="3" t="s">
        <v>367</v>
      </c>
      <c r="I91" s="7" t="s">
        <v>380</v>
      </c>
      <c r="J91" s="7" t="s">
        <v>30</v>
      </c>
      <c r="K91" s="7" t="s">
        <v>31</v>
      </c>
      <c r="L91" s="3">
        <f t="shared" ref="L91:L118" si="10">(((I91*H91)-((I91*H91)*(J91/100)))+(((I91*H91)-((I91*H91)*(J91/100)))*K91/100))</f>
        <v>2121.75</v>
      </c>
      <c r="M91" s="3" t="s">
        <v>367</v>
      </c>
      <c r="N91" s="7">
        <v>45</v>
      </c>
      <c r="O91" s="7" t="s">
        <v>30</v>
      </c>
      <c r="P91" s="7" t="s">
        <v>31</v>
      </c>
      <c r="Q91" s="3">
        <f t="shared" ref="Q91:Q118" si="11">(((N91*M91)-((N91*M91)*(O91/100)))+(((N91*M91)-((N91*M91)*(O91/100)))*P91/100))</f>
        <v>2328.75</v>
      </c>
      <c r="ZH91" s="8" t="s">
        <v>157</v>
      </c>
    </row>
    <row r="92" spans="2:684" x14ac:dyDescent="0.2">
      <c r="B92" s="7" t="s">
        <v>444</v>
      </c>
      <c r="C92" s="3" t="s">
        <v>31</v>
      </c>
      <c r="D92" s="7" t="s">
        <v>380</v>
      </c>
      <c r="E92" s="7" t="s">
        <v>30</v>
      </c>
      <c r="F92" s="7" t="s">
        <v>31</v>
      </c>
      <c r="G92" s="3">
        <f t="shared" si="9"/>
        <v>707.25</v>
      </c>
      <c r="H92" s="3" t="s">
        <v>31</v>
      </c>
      <c r="I92" s="7" t="s">
        <v>380</v>
      </c>
      <c r="J92" s="7" t="s">
        <v>30</v>
      </c>
      <c r="K92" s="7" t="s">
        <v>31</v>
      </c>
      <c r="L92" s="3">
        <f t="shared" si="10"/>
        <v>707.25</v>
      </c>
      <c r="M92" s="3" t="s">
        <v>31</v>
      </c>
      <c r="N92" s="7">
        <v>45</v>
      </c>
      <c r="O92" s="7" t="s">
        <v>30</v>
      </c>
      <c r="P92" s="7" t="s">
        <v>31</v>
      </c>
      <c r="Q92" s="3">
        <f t="shared" si="11"/>
        <v>776.25</v>
      </c>
      <c r="ZH92" s="8" t="s">
        <v>158</v>
      </c>
    </row>
    <row r="93" spans="2:684" x14ac:dyDescent="0.2">
      <c r="B93" s="7" t="s">
        <v>445</v>
      </c>
      <c r="C93" s="3" t="s">
        <v>381</v>
      </c>
      <c r="D93" s="7" t="s">
        <v>380</v>
      </c>
      <c r="E93" s="7" t="s">
        <v>30</v>
      </c>
      <c r="F93" s="7" t="s">
        <v>31</v>
      </c>
      <c r="G93" s="3">
        <f t="shared" si="9"/>
        <v>1697.4</v>
      </c>
      <c r="H93" s="3" t="s">
        <v>381</v>
      </c>
      <c r="I93" s="7" t="s">
        <v>380</v>
      </c>
      <c r="J93" s="7" t="s">
        <v>30</v>
      </c>
      <c r="K93" s="7" t="s">
        <v>31</v>
      </c>
      <c r="L93" s="3">
        <f t="shared" si="10"/>
        <v>1697.4</v>
      </c>
      <c r="M93" s="3" t="s">
        <v>381</v>
      </c>
      <c r="N93" s="7">
        <v>45</v>
      </c>
      <c r="O93" s="7" t="s">
        <v>30</v>
      </c>
      <c r="P93" s="7" t="s">
        <v>31</v>
      </c>
      <c r="Q93" s="3">
        <f t="shared" si="11"/>
        <v>1863</v>
      </c>
      <c r="ZH93" s="8" t="s">
        <v>159</v>
      </c>
    </row>
    <row r="94" spans="2:684" x14ac:dyDescent="0.2">
      <c r="B94" s="7" t="s">
        <v>446</v>
      </c>
      <c r="C94" s="3" t="s">
        <v>31</v>
      </c>
      <c r="D94" s="7" t="s">
        <v>380</v>
      </c>
      <c r="E94" s="7" t="s">
        <v>30</v>
      </c>
      <c r="F94" s="7" t="s">
        <v>31</v>
      </c>
      <c r="G94" s="3">
        <f t="shared" si="9"/>
        <v>707.25</v>
      </c>
      <c r="H94" s="3" t="s">
        <v>31</v>
      </c>
      <c r="I94" s="7" t="s">
        <v>380</v>
      </c>
      <c r="J94" s="7" t="s">
        <v>30</v>
      </c>
      <c r="K94" s="7" t="s">
        <v>31</v>
      </c>
      <c r="L94" s="3">
        <f t="shared" si="10"/>
        <v>707.25</v>
      </c>
      <c r="M94" s="3" t="s">
        <v>31</v>
      </c>
      <c r="N94" s="7">
        <v>45</v>
      </c>
      <c r="O94" s="7" t="s">
        <v>30</v>
      </c>
      <c r="P94" s="7" t="s">
        <v>31</v>
      </c>
      <c r="Q94" s="3">
        <f t="shared" si="11"/>
        <v>776.25</v>
      </c>
      <c r="ZH94" s="8" t="s">
        <v>160</v>
      </c>
    </row>
    <row r="95" spans="2:684" x14ac:dyDescent="0.2">
      <c r="B95" s="7" t="s">
        <v>447</v>
      </c>
      <c r="C95" s="3" t="s">
        <v>337</v>
      </c>
      <c r="D95" s="7" t="s">
        <v>380</v>
      </c>
      <c r="E95" s="7" t="s">
        <v>30</v>
      </c>
      <c r="F95" s="7" t="s">
        <v>31</v>
      </c>
      <c r="G95" s="3">
        <f t="shared" si="9"/>
        <v>1555.95</v>
      </c>
      <c r="H95" s="3" t="s">
        <v>337</v>
      </c>
      <c r="I95" s="7" t="s">
        <v>380</v>
      </c>
      <c r="J95" s="7" t="s">
        <v>30</v>
      </c>
      <c r="K95" s="7" t="s">
        <v>31</v>
      </c>
      <c r="L95" s="3">
        <f t="shared" si="10"/>
        <v>1555.95</v>
      </c>
      <c r="M95" s="3" t="s">
        <v>337</v>
      </c>
      <c r="N95" s="7">
        <v>45</v>
      </c>
      <c r="O95" s="7" t="s">
        <v>30</v>
      </c>
      <c r="P95" s="7" t="s">
        <v>31</v>
      </c>
      <c r="Q95" s="3">
        <f t="shared" si="11"/>
        <v>1707.75</v>
      </c>
      <c r="ZH95" s="8" t="s">
        <v>161</v>
      </c>
    </row>
    <row r="96" spans="2:684" x14ac:dyDescent="0.2">
      <c r="B96" s="7" t="s">
        <v>448</v>
      </c>
      <c r="C96" s="3" t="s">
        <v>31</v>
      </c>
      <c r="D96" s="7" t="s">
        <v>380</v>
      </c>
      <c r="E96" s="7" t="s">
        <v>30</v>
      </c>
      <c r="F96" s="7" t="s">
        <v>31</v>
      </c>
      <c r="G96" s="3">
        <f t="shared" si="9"/>
        <v>707.25</v>
      </c>
      <c r="H96" s="3" t="s">
        <v>31</v>
      </c>
      <c r="I96" s="7" t="s">
        <v>380</v>
      </c>
      <c r="J96" s="7" t="s">
        <v>30</v>
      </c>
      <c r="K96" s="7" t="s">
        <v>31</v>
      </c>
      <c r="L96" s="3">
        <f t="shared" si="10"/>
        <v>707.25</v>
      </c>
      <c r="M96" s="3" t="s">
        <v>31</v>
      </c>
      <c r="N96" s="7">
        <v>45</v>
      </c>
      <c r="O96" s="7" t="s">
        <v>30</v>
      </c>
      <c r="P96" s="7" t="s">
        <v>31</v>
      </c>
      <c r="Q96" s="3">
        <f t="shared" si="11"/>
        <v>776.25</v>
      </c>
      <c r="ZH96" s="8" t="s">
        <v>162</v>
      </c>
    </row>
    <row r="97" spans="2:684" x14ac:dyDescent="0.2">
      <c r="B97" s="7" t="s">
        <v>449</v>
      </c>
      <c r="C97" s="3" t="s">
        <v>382</v>
      </c>
      <c r="D97" s="7" t="s">
        <v>380</v>
      </c>
      <c r="E97" s="7" t="s">
        <v>30</v>
      </c>
      <c r="F97" s="7" t="s">
        <v>31</v>
      </c>
      <c r="G97" s="3">
        <f t="shared" si="9"/>
        <v>848.7</v>
      </c>
      <c r="H97" s="3" t="s">
        <v>382</v>
      </c>
      <c r="I97" s="7" t="s">
        <v>380</v>
      </c>
      <c r="J97" s="7" t="s">
        <v>30</v>
      </c>
      <c r="K97" s="7" t="s">
        <v>31</v>
      </c>
      <c r="L97" s="3">
        <f t="shared" si="10"/>
        <v>848.7</v>
      </c>
      <c r="M97" s="3" t="s">
        <v>382</v>
      </c>
      <c r="N97" s="7">
        <v>45</v>
      </c>
      <c r="O97" s="7" t="s">
        <v>30</v>
      </c>
      <c r="P97" s="7" t="s">
        <v>31</v>
      </c>
      <c r="Q97" s="3">
        <f t="shared" si="11"/>
        <v>931.5</v>
      </c>
      <c r="ZH97" s="8" t="s">
        <v>163</v>
      </c>
    </row>
    <row r="98" spans="2:684" x14ac:dyDescent="0.2">
      <c r="B98" s="7" t="s">
        <v>450</v>
      </c>
      <c r="C98" s="3" t="s">
        <v>31</v>
      </c>
      <c r="D98" s="7" t="s">
        <v>380</v>
      </c>
      <c r="E98" s="7" t="s">
        <v>30</v>
      </c>
      <c r="F98" s="7" t="s">
        <v>31</v>
      </c>
      <c r="G98" s="3">
        <f t="shared" si="9"/>
        <v>707.25</v>
      </c>
      <c r="H98" s="3" t="s">
        <v>31</v>
      </c>
      <c r="I98" s="7" t="s">
        <v>380</v>
      </c>
      <c r="J98" s="7" t="s">
        <v>30</v>
      </c>
      <c r="K98" s="7" t="s">
        <v>31</v>
      </c>
      <c r="L98" s="3">
        <f t="shared" si="10"/>
        <v>707.25</v>
      </c>
      <c r="M98" s="3" t="s">
        <v>31</v>
      </c>
      <c r="N98" s="7">
        <v>45</v>
      </c>
      <c r="O98" s="7" t="s">
        <v>30</v>
      </c>
      <c r="P98" s="7" t="s">
        <v>31</v>
      </c>
      <c r="Q98" s="3">
        <f t="shared" si="11"/>
        <v>776.25</v>
      </c>
      <c r="ZH98" s="8" t="s">
        <v>164</v>
      </c>
    </row>
    <row r="99" spans="2:684" x14ac:dyDescent="0.2">
      <c r="B99" s="7" t="s">
        <v>451</v>
      </c>
      <c r="C99" s="3" t="s">
        <v>349</v>
      </c>
      <c r="D99" s="7" t="s">
        <v>380</v>
      </c>
      <c r="E99" s="7" t="s">
        <v>30</v>
      </c>
      <c r="F99" s="7" t="s">
        <v>31</v>
      </c>
      <c r="G99" s="3">
        <f t="shared" si="9"/>
        <v>1838.85</v>
      </c>
      <c r="H99" s="3" t="s">
        <v>349</v>
      </c>
      <c r="I99" s="7" t="s">
        <v>380</v>
      </c>
      <c r="J99" s="7" t="s">
        <v>30</v>
      </c>
      <c r="K99" s="7" t="s">
        <v>31</v>
      </c>
      <c r="L99" s="3">
        <f t="shared" si="10"/>
        <v>1838.85</v>
      </c>
      <c r="M99" s="3" t="s">
        <v>349</v>
      </c>
      <c r="N99" s="7">
        <v>45</v>
      </c>
      <c r="O99" s="7" t="s">
        <v>30</v>
      </c>
      <c r="P99" s="7" t="s">
        <v>31</v>
      </c>
      <c r="Q99" s="3">
        <f t="shared" si="11"/>
        <v>2018.25</v>
      </c>
      <c r="ZH99" s="8" t="s">
        <v>165</v>
      </c>
    </row>
    <row r="100" spans="2:684" x14ac:dyDescent="0.2">
      <c r="B100" s="7" t="s">
        <v>452</v>
      </c>
      <c r="C100" s="3" t="s">
        <v>31</v>
      </c>
      <c r="D100" s="7" t="s">
        <v>380</v>
      </c>
      <c r="E100" s="7" t="s">
        <v>30</v>
      </c>
      <c r="F100" s="7" t="s">
        <v>31</v>
      </c>
      <c r="G100" s="3">
        <f t="shared" si="9"/>
        <v>707.25</v>
      </c>
      <c r="H100" s="3" t="s">
        <v>31</v>
      </c>
      <c r="I100" s="7" t="s">
        <v>380</v>
      </c>
      <c r="J100" s="7" t="s">
        <v>30</v>
      </c>
      <c r="K100" s="7" t="s">
        <v>31</v>
      </c>
      <c r="L100" s="3">
        <f t="shared" si="10"/>
        <v>707.25</v>
      </c>
      <c r="M100" s="3" t="s">
        <v>31</v>
      </c>
      <c r="N100" s="7">
        <v>45</v>
      </c>
      <c r="O100" s="7" t="s">
        <v>30</v>
      </c>
      <c r="P100" s="7" t="s">
        <v>31</v>
      </c>
      <c r="Q100" s="3">
        <f t="shared" si="11"/>
        <v>776.25</v>
      </c>
      <c r="ZH100" s="8" t="s">
        <v>166</v>
      </c>
    </row>
    <row r="101" spans="2:684" x14ac:dyDescent="0.2">
      <c r="B101" s="7" t="s">
        <v>453</v>
      </c>
      <c r="C101" s="3" t="s">
        <v>71</v>
      </c>
      <c r="D101" s="7" t="s">
        <v>380</v>
      </c>
      <c r="E101" s="7" t="s">
        <v>30</v>
      </c>
      <c r="F101" s="7" t="s">
        <v>31</v>
      </c>
      <c r="G101" s="3">
        <f t="shared" si="9"/>
        <v>565.79999999999995</v>
      </c>
      <c r="H101" s="3" t="s">
        <v>71</v>
      </c>
      <c r="I101" s="7" t="s">
        <v>380</v>
      </c>
      <c r="J101" s="7" t="s">
        <v>30</v>
      </c>
      <c r="K101" s="7" t="s">
        <v>31</v>
      </c>
      <c r="L101" s="3">
        <f t="shared" si="10"/>
        <v>565.79999999999995</v>
      </c>
      <c r="M101" s="3" t="s">
        <v>71</v>
      </c>
      <c r="N101" s="7">
        <v>45</v>
      </c>
      <c r="O101" s="7" t="s">
        <v>30</v>
      </c>
      <c r="P101" s="7" t="s">
        <v>31</v>
      </c>
      <c r="Q101" s="3">
        <f t="shared" si="11"/>
        <v>621</v>
      </c>
      <c r="ZH101" s="8" t="s">
        <v>167</v>
      </c>
    </row>
    <row r="102" spans="2:684" x14ac:dyDescent="0.2">
      <c r="B102" s="7" t="s">
        <v>454</v>
      </c>
      <c r="C102" s="3" t="s">
        <v>60</v>
      </c>
      <c r="D102" s="7" t="s">
        <v>380</v>
      </c>
      <c r="E102" s="7" t="s">
        <v>30</v>
      </c>
      <c r="F102" s="7" t="s">
        <v>31</v>
      </c>
      <c r="G102" s="3">
        <f t="shared" si="9"/>
        <v>424.35</v>
      </c>
      <c r="H102" s="3" t="s">
        <v>60</v>
      </c>
      <c r="I102" s="7" t="s">
        <v>380</v>
      </c>
      <c r="J102" s="7" t="s">
        <v>30</v>
      </c>
      <c r="K102" s="7" t="s">
        <v>31</v>
      </c>
      <c r="L102" s="3">
        <f t="shared" si="10"/>
        <v>424.35</v>
      </c>
      <c r="M102" s="3" t="s">
        <v>60</v>
      </c>
      <c r="N102" s="7">
        <v>45</v>
      </c>
      <c r="O102" s="7" t="s">
        <v>30</v>
      </c>
      <c r="P102" s="7" t="s">
        <v>31</v>
      </c>
      <c r="Q102" s="3">
        <f t="shared" si="11"/>
        <v>465.75</v>
      </c>
      <c r="ZH102" s="8" t="s">
        <v>168</v>
      </c>
    </row>
    <row r="103" spans="2:684" x14ac:dyDescent="0.2">
      <c r="B103" s="7" t="s">
        <v>455</v>
      </c>
      <c r="C103" s="3" t="s">
        <v>382</v>
      </c>
      <c r="D103" s="7" t="s">
        <v>380</v>
      </c>
      <c r="E103" s="7" t="s">
        <v>30</v>
      </c>
      <c r="F103" s="7" t="s">
        <v>31</v>
      </c>
      <c r="G103" s="3">
        <f t="shared" si="9"/>
        <v>848.7</v>
      </c>
      <c r="H103" s="3" t="s">
        <v>382</v>
      </c>
      <c r="I103" s="7" t="s">
        <v>380</v>
      </c>
      <c r="J103" s="7" t="s">
        <v>30</v>
      </c>
      <c r="K103" s="7" t="s">
        <v>31</v>
      </c>
      <c r="L103" s="3">
        <f t="shared" si="10"/>
        <v>848.7</v>
      </c>
      <c r="M103" s="3" t="s">
        <v>382</v>
      </c>
      <c r="N103" s="7">
        <v>45</v>
      </c>
      <c r="O103" s="7" t="s">
        <v>30</v>
      </c>
      <c r="P103" s="7" t="s">
        <v>31</v>
      </c>
      <c r="Q103" s="3">
        <f t="shared" si="11"/>
        <v>931.5</v>
      </c>
      <c r="ZH103" s="8" t="s">
        <v>169</v>
      </c>
    </row>
    <row r="104" spans="2:684" x14ac:dyDescent="0.2">
      <c r="B104" s="7" t="s">
        <v>456</v>
      </c>
      <c r="C104" s="3" t="s">
        <v>31</v>
      </c>
      <c r="D104" s="7" t="s">
        <v>380</v>
      </c>
      <c r="E104" s="7" t="s">
        <v>30</v>
      </c>
      <c r="F104" s="7" t="s">
        <v>31</v>
      </c>
      <c r="G104" s="3">
        <f t="shared" si="9"/>
        <v>707.25</v>
      </c>
      <c r="H104" s="3" t="s">
        <v>31</v>
      </c>
      <c r="I104" s="7" t="s">
        <v>380</v>
      </c>
      <c r="J104" s="7" t="s">
        <v>30</v>
      </c>
      <c r="K104" s="7" t="s">
        <v>31</v>
      </c>
      <c r="L104" s="3">
        <f t="shared" si="10"/>
        <v>707.25</v>
      </c>
      <c r="M104" s="3" t="s">
        <v>31</v>
      </c>
      <c r="N104" s="7">
        <v>45</v>
      </c>
      <c r="O104" s="7" t="s">
        <v>30</v>
      </c>
      <c r="P104" s="7" t="s">
        <v>31</v>
      </c>
      <c r="Q104" s="3">
        <f t="shared" si="11"/>
        <v>776.25</v>
      </c>
      <c r="ZH104" s="8" t="s">
        <v>170</v>
      </c>
    </row>
    <row r="105" spans="2:684" x14ac:dyDescent="0.2">
      <c r="B105" s="7" t="s">
        <v>457</v>
      </c>
      <c r="C105" s="3" t="s">
        <v>71</v>
      </c>
      <c r="D105" s="7" t="s">
        <v>380</v>
      </c>
      <c r="E105" s="7" t="s">
        <v>30</v>
      </c>
      <c r="F105" s="7" t="s">
        <v>31</v>
      </c>
      <c r="G105" s="3">
        <f t="shared" si="9"/>
        <v>565.79999999999995</v>
      </c>
      <c r="H105" s="3" t="s">
        <v>71</v>
      </c>
      <c r="I105" s="7" t="s">
        <v>380</v>
      </c>
      <c r="J105" s="7" t="s">
        <v>30</v>
      </c>
      <c r="K105" s="7" t="s">
        <v>31</v>
      </c>
      <c r="L105" s="3">
        <f t="shared" si="10"/>
        <v>565.79999999999995</v>
      </c>
      <c r="M105" s="3" t="s">
        <v>71</v>
      </c>
      <c r="N105" s="7">
        <v>45</v>
      </c>
      <c r="O105" s="7" t="s">
        <v>30</v>
      </c>
      <c r="P105" s="7" t="s">
        <v>31</v>
      </c>
      <c r="Q105" s="3">
        <f t="shared" si="11"/>
        <v>621</v>
      </c>
      <c r="ZH105" s="8" t="s">
        <v>171</v>
      </c>
    </row>
    <row r="106" spans="2:684" x14ac:dyDescent="0.2">
      <c r="B106" s="7" t="s">
        <v>458</v>
      </c>
      <c r="C106" s="3" t="s">
        <v>60</v>
      </c>
      <c r="D106" s="7" t="s">
        <v>380</v>
      </c>
      <c r="E106" s="7" t="s">
        <v>30</v>
      </c>
      <c r="F106" s="7" t="s">
        <v>31</v>
      </c>
      <c r="G106" s="3">
        <f t="shared" si="9"/>
        <v>424.35</v>
      </c>
      <c r="H106" s="3" t="s">
        <v>60</v>
      </c>
      <c r="I106" s="7" t="s">
        <v>380</v>
      </c>
      <c r="J106" s="7" t="s">
        <v>30</v>
      </c>
      <c r="K106" s="7" t="s">
        <v>31</v>
      </c>
      <c r="L106" s="3">
        <f t="shared" si="10"/>
        <v>424.35</v>
      </c>
      <c r="M106" s="3" t="s">
        <v>60</v>
      </c>
      <c r="N106" s="7">
        <v>45</v>
      </c>
      <c r="O106" s="7" t="s">
        <v>30</v>
      </c>
      <c r="P106" s="7" t="s">
        <v>31</v>
      </c>
      <c r="Q106" s="3">
        <f t="shared" si="11"/>
        <v>465.75</v>
      </c>
      <c r="ZH106" s="8" t="s">
        <v>172</v>
      </c>
    </row>
    <row r="107" spans="2:684" x14ac:dyDescent="0.2">
      <c r="B107" s="7" t="s">
        <v>459</v>
      </c>
      <c r="C107" s="3" t="s">
        <v>31</v>
      </c>
      <c r="D107" s="7" t="s">
        <v>380</v>
      </c>
      <c r="E107" s="7" t="s">
        <v>30</v>
      </c>
      <c r="F107" s="7" t="s">
        <v>31</v>
      </c>
      <c r="G107" s="3">
        <f t="shared" si="9"/>
        <v>707.25</v>
      </c>
      <c r="H107" s="3" t="s">
        <v>31</v>
      </c>
      <c r="I107" s="7" t="s">
        <v>380</v>
      </c>
      <c r="J107" s="7" t="s">
        <v>30</v>
      </c>
      <c r="K107" s="7" t="s">
        <v>31</v>
      </c>
      <c r="L107" s="3">
        <f t="shared" si="10"/>
        <v>707.25</v>
      </c>
      <c r="M107" s="3" t="s">
        <v>31</v>
      </c>
      <c r="N107" s="7">
        <v>45</v>
      </c>
      <c r="O107" s="7" t="s">
        <v>30</v>
      </c>
      <c r="P107" s="7" t="s">
        <v>31</v>
      </c>
      <c r="Q107" s="3">
        <f t="shared" si="11"/>
        <v>776.25</v>
      </c>
      <c r="ZH107" s="8" t="s">
        <v>173</v>
      </c>
    </row>
    <row r="108" spans="2:684" x14ac:dyDescent="0.2">
      <c r="B108" s="7" t="s">
        <v>460</v>
      </c>
      <c r="C108" s="3" t="s">
        <v>31</v>
      </c>
      <c r="D108" s="7" t="s">
        <v>380</v>
      </c>
      <c r="E108" s="7" t="s">
        <v>30</v>
      </c>
      <c r="F108" s="7" t="s">
        <v>31</v>
      </c>
      <c r="G108" s="3">
        <f t="shared" si="9"/>
        <v>707.25</v>
      </c>
      <c r="H108" s="3" t="s">
        <v>31</v>
      </c>
      <c r="I108" s="7" t="s">
        <v>380</v>
      </c>
      <c r="J108" s="7" t="s">
        <v>30</v>
      </c>
      <c r="K108" s="7" t="s">
        <v>31</v>
      </c>
      <c r="L108" s="3">
        <f t="shared" si="10"/>
        <v>707.25</v>
      </c>
      <c r="M108" s="3" t="s">
        <v>31</v>
      </c>
      <c r="N108" s="7">
        <v>45</v>
      </c>
      <c r="O108" s="7" t="s">
        <v>30</v>
      </c>
      <c r="P108" s="7" t="s">
        <v>31</v>
      </c>
      <c r="Q108" s="3">
        <f t="shared" si="11"/>
        <v>776.25</v>
      </c>
      <c r="ZH108" s="8" t="s">
        <v>174</v>
      </c>
    </row>
    <row r="109" spans="2:684" x14ac:dyDescent="0.2">
      <c r="B109" s="7" t="s">
        <v>461</v>
      </c>
      <c r="C109" s="3" t="s">
        <v>37</v>
      </c>
      <c r="D109" s="7" t="s">
        <v>380</v>
      </c>
      <c r="E109" s="7" t="s">
        <v>30</v>
      </c>
      <c r="F109" s="7" t="s">
        <v>31</v>
      </c>
      <c r="G109" s="3">
        <f t="shared" si="9"/>
        <v>141.44999999999999</v>
      </c>
      <c r="H109" s="3" t="s">
        <v>37</v>
      </c>
      <c r="I109" s="7" t="s">
        <v>380</v>
      </c>
      <c r="J109" s="7" t="s">
        <v>30</v>
      </c>
      <c r="K109" s="7" t="s">
        <v>31</v>
      </c>
      <c r="L109" s="3">
        <f t="shared" si="10"/>
        <v>141.44999999999999</v>
      </c>
      <c r="M109" s="3" t="s">
        <v>37</v>
      </c>
      <c r="N109" s="7">
        <v>45</v>
      </c>
      <c r="O109" s="7" t="s">
        <v>30</v>
      </c>
      <c r="P109" s="7" t="s">
        <v>31</v>
      </c>
      <c r="Q109" s="3">
        <f t="shared" si="11"/>
        <v>155.25</v>
      </c>
      <c r="ZH109" s="8" t="s">
        <v>175</v>
      </c>
    </row>
    <row r="110" spans="2:684" x14ac:dyDescent="0.2">
      <c r="B110" s="7" t="s">
        <v>462</v>
      </c>
      <c r="C110" s="3" t="s">
        <v>60</v>
      </c>
      <c r="D110" s="7" t="s">
        <v>380</v>
      </c>
      <c r="E110" s="7" t="s">
        <v>30</v>
      </c>
      <c r="F110" s="7" t="s">
        <v>31</v>
      </c>
      <c r="G110" s="3">
        <f t="shared" si="9"/>
        <v>424.35</v>
      </c>
      <c r="H110" s="3" t="s">
        <v>60</v>
      </c>
      <c r="I110" s="7" t="s">
        <v>380</v>
      </c>
      <c r="J110" s="7" t="s">
        <v>30</v>
      </c>
      <c r="K110" s="7" t="s">
        <v>31</v>
      </c>
      <c r="L110" s="3">
        <f t="shared" si="10"/>
        <v>424.35</v>
      </c>
      <c r="M110" s="3" t="s">
        <v>60</v>
      </c>
      <c r="N110" s="7">
        <v>45</v>
      </c>
      <c r="O110" s="7" t="s">
        <v>30</v>
      </c>
      <c r="P110" s="7" t="s">
        <v>31</v>
      </c>
      <c r="Q110" s="3">
        <f t="shared" si="11"/>
        <v>465.75</v>
      </c>
      <c r="ZH110" s="8" t="s">
        <v>176</v>
      </c>
    </row>
    <row r="111" spans="2:684" x14ac:dyDescent="0.2">
      <c r="B111" s="7" t="s">
        <v>463</v>
      </c>
      <c r="C111" s="3" t="s">
        <v>37</v>
      </c>
      <c r="D111" s="7" t="s">
        <v>380</v>
      </c>
      <c r="E111" s="7" t="s">
        <v>30</v>
      </c>
      <c r="F111" s="7" t="s">
        <v>31</v>
      </c>
      <c r="G111" s="3">
        <f t="shared" si="9"/>
        <v>141.44999999999999</v>
      </c>
      <c r="H111" s="3" t="s">
        <v>37</v>
      </c>
      <c r="I111" s="7" t="s">
        <v>380</v>
      </c>
      <c r="J111" s="7" t="s">
        <v>30</v>
      </c>
      <c r="K111" s="7" t="s">
        <v>31</v>
      </c>
      <c r="L111" s="3">
        <f t="shared" si="10"/>
        <v>141.44999999999999</v>
      </c>
      <c r="M111" s="3" t="s">
        <v>37</v>
      </c>
      <c r="N111" s="7">
        <v>45</v>
      </c>
      <c r="O111" s="7" t="s">
        <v>30</v>
      </c>
      <c r="P111" s="7" t="s">
        <v>31</v>
      </c>
      <c r="Q111" s="3">
        <f t="shared" si="11"/>
        <v>155.25</v>
      </c>
      <c r="ZH111" s="8" t="s">
        <v>177</v>
      </c>
    </row>
    <row r="112" spans="2:684" x14ac:dyDescent="0.2">
      <c r="B112" s="7" t="s">
        <v>464</v>
      </c>
      <c r="C112" s="3" t="s">
        <v>60</v>
      </c>
      <c r="D112" s="7" t="s">
        <v>380</v>
      </c>
      <c r="E112" s="7" t="s">
        <v>30</v>
      </c>
      <c r="F112" s="7" t="s">
        <v>31</v>
      </c>
      <c r="G112" s="3">
        <f t="shared" si="9"/>
        <v>424.35</v>
      </c>
      <c r="H112" s="3" t="s">
        <v>60</v>
      </c>
      <c r="I112" s="7" t="s">
        <v>380</v>
      </c>
      <c r="J112" s="7" t="s">
        <v>30</v>
      </c>
      <c r="K112" s="7" t="s">
        <v>31</v>
      </c>
      <c r="L112" s="3">
        <f t="shared" si="10"/>
        <v>424.35</v>
      </c>
      <c r="M112" s="3" t="s">
        <v>60</v>
      </c>
      <c r="N112" s="7">
        <v>45</v>
      </c>
      <c r="O112" s="7" t="s">
        <v>30</v>
      </c>
      <c r="P112" s="7" t="s">
        <v>31</v>
      </c>
      <c r="Q112" s="3">
        <f t="shared" si="11"/>
        <v>465.75</v>
      </c>
      <c r="ZH112" s="8" t="s">
        <v>178</v>
      </c>
    </row>
    <row r="113" spans="2:684" x14ac:dyDescent="0.2">
      <c r="B113" s="7" t="s">
        <v>465</v>
      </c>
      <c r="C113" s="3" t="s">
        <v>48</v>
      </c>
      <c r="D113" s="7" t="s">
        <v>380</v>
      </c>
      <c r="E113" s="7" t="s">
        <v>30</v>
      </c>
      <c r="F113" s="7" t="s">
        <v>31</v>
      </c>
      <c r="G113" s="3">
        <f t="shared" si="9"/>
        <v>282.89999999999998</v>
      </c>
      <c r="H113" s="3" t="s">
        <v>48</v>
      </c>
      <c r="I113" s="7" t="s">
        <v>380</v>
      </c>
      <c r="J113" s="7" t="s">
        <v>30</v>
      </c>
      <c r="K113" s="7" t="s">
        <v>31</v>
      </c>
      <c r="L113" s="3">
        <f t="shared" si="10"/>
        <v>282.89999999999998</v>
      </c>
      <c r="M113" s="3" t="s">
        <v>48</v>
      </c>
      <c r="N113" s="7">
        <v>45</v>
      </c>
      <c r="O113" s="7" t="s">
        <v>30</v>
      </c>
      <c r="P113" s="7" t="s">
        <v>31</v>
      </c>
      <c r="Q113" s="3">
        <f t="shared" si="11"/>
        <v>310.5</v>
      </c>
      <c r="ZH113" s="8" t="s">
        <v>179</v>
      </c>
    </row>
    <row r="114" spans="2:684" x14ac:dyDescent="0.2">
      <c r="B114" s="7" t="s">
        <v>466</v>
      </c>
      <c r="C114" s="3" t="s">
        <v>48</v>
      </c>
      <c r="D114" s="7" t="s">
        <v>367</v>
      </c>
      <c r="E114" s="7" t="s">
        <v>30</v>
      </c>
      <c r="F114" s="7" t="s">
        <v>31</v>
      </c>
      <c r="G114" s="3">
        <f t="shared" si="9"/>
        <v>310.5</v>
      </c>
      <c r="H114" s="3" t="s">
        <v>48</v>
      </c>
      <c r="I114" s="7" t="s">
        <v>367</v>
      </c>
      <c r="J114" s="7" t="s">
        <v>30</v>
      </c>
      <c r="K114" s="7" t="s">
        <v>31</v>
      </c>
      <c r="L114" s="3">
        <f t="shared" si="10"/>
        <v>310.5</v>
      </c>
      <c r="M114" s="3" t="s">
        <v>48</v>
      </c>
      <c r="N114" s="7">
        <v>50</v>
      </c>
      <c r="O114" s="7" t="s">
        <v>30</v>
      </c>
      <c r="P114" s="7" t="s">
        <v>31</v>
      </c>
      <c r="Q114" s="3">
        <f t="shared" si="11"/>
        <v>345</v>
      </c>
      <c r="ZH114" s="8" t="s">
        <v>180</v>
      </c>
    </row>
    <row r="115" spans="2:684" x14ac:dyDescent="0.2">
      <c r="B115" s="7" t="s">
        <v>467</v>
      </c>
      <c r="C115" s="3" t="s">
        <v>37</v>
      </c>
      <c r="D115" s="7" t="s">
        <v>380</v>
      </c>
      <c r="E115" s="7" t="s">
        <v>30</v>
      </c>
      <c r="F115" s="7" t="s">
        <v>31</v>
      </c>
      <c r="G115" s="3">
        <f t="shared" si="9"/>
        <v>141.44999999999999</v>
      </c>
      <c r="H115" s="3" t="s">
        <v>37</v>
      </c>
      <c r="I115" s="7" t="s">
        <v>380</v>
      </c>
      <c r="J115" s="7" t="s">
        <v>30</v>
      </c>
      <c r="K115" s="7" t="s">
        <v>31</v>
      </c>
      <c r="L115" s="3">
        <f t="shared" si="10"/>
        <v>141.44999999999999</v>
      </c>
      <c r="M115" s="3" t="s">
        <v>37</v>
      </c>
      <c r="N115" s="7">
        <v>45</v>
      </c>
      <c r="O115" s="7" t="s">
        <v>30</v>
      </c>
      <c r="P115" s="7" t="s">
        <v>31</v>
      </c>
      <c r="Q115" s="3">
        <f t="shared" si="11"/>
        <v>155.25</v>
      </c>
      <c r="ZH115" s="8" t="s">
        <v>181</v>
      </c>
    </row>
    <row r="116" spans="2:684" x14ac:dyDescent="0.2">
      <c r="B116" s="7" t="s">
        <v>468</v>
      </c>
      <c r="C116" s="3" t="s">
        <v>37</v>
      </c>
      <c r="D116" s="7" t="s">
        <v>380</v>
      </c>
      <c r="E116" s="7" t="s">
        <v>30</v>
      </c>
      <c r="F116" s="7" t="s">
        <v>31</v>
      </c>
      <c r="G116" s="3">
        <f t="shared" si="9"/>
        <v>141.44999999999999</v>
      </c>
      <c r="H116" s="3" t="s">
        <v>37</v>
      </c>
      <c r="I116" s="7" t="s">
        <v>380</v>
      </c>
      <c r="J116" s="7" t="s">
        <v>30</v>
      </c>
      <c r="K116" s="7" t="s">
        <v>31</v>
      </c>
      <c r="L116" s="3">
        <f t="shared" si="10"/>
        <v>141.44999999999999</v>
      </c>
      <c r="M116" s="3" t="s">
        <v>37</v>
      </c>
      <c r="N116" s="7">
        <v>45</v>
      </c>
      <c r="O116" s="7" t="s">
        <v>30</v>
      </c>
      <c r="P116" s="7" t="s">
        <v>31</v>
      </c>
      <c r="Q116" s="3">
        <f t="shared" si="11"/>
        <v>155.25</v>
      </c>
      <c r="ZH116" s="8" t="s">
        <v>182</v>
      </c>
    </row>
    <row r="117" spans="2:684" x14ac:dyDescent="0.2">
      <c r="B117" s="7" t="s">
        <v>469</v>
      </c>
      <c r="C117" s="3" t="s">
        <v>37</v>
      </c>
      <c r="D117" s="7" t="s">
        <v>380</v>
      </c>
      <c r="E117" s="7" t="s">
        <v>30</v>
      </c>
      <c r="F117" s="7" t="s">
        <v>31</v>
      </c>
      <c r="G117" s="3">
        <f t="shared" si="9"/>
        <v>141.44999999999999</v>
      </c>
      <c r="H117" s="3" t="s">
        <v>37</v>
      </c>
      <c r="I117" s="7" t="s">
        <v>380</v>
      </c>
      <c r="J117" s="7" t="s">
        <v>30</v>
      </c>
      <c r="K117" s="7" t="s">
        <v>31</v>
      </c>
      <c r="L117" s="3">
        <f t="shared" si="10"/>
        <v>141.44999999999999</v>
      </c>
      <c r="M117" s="3" t="s">
        <v>37</v>
      </c>
      <c r="N117" s="7">
        <v>45</v>
      </c>
      <c r="O117" s="7" t="s">
        <v>30</v>
      </c>
      <c r="P117" s="7" t="s">
        <v>31</v>
      </c>
      <c r="Q117" s="3">
        <f t="shared" si="11"/>
        <v>155.25</v>
      </c>
      <c r="ZH117" s="8" t="s">
        <v>183</v>
      </c>
    </row>
    <row r="118" spans="2:684" x14ac:dyDescent="0.2">
      <c r="B118" s="7" t="s">
        <v>470</v>
      </c>
      <c r="C118" s="3" t="s">
        <v>37</v>
      </c>
      <c r="D118" s="7" t="s">
        <v>380</v>
      </c>
      <c r="E118" s="7" t="s">
        <v>30</v>
      </c>
      <c r="F118" s="7" t="s">
        <v>31</v>
      </c>
      <c r="G118" s="3">
        <f t="shared" si="9"/>
        <v>141.44999999999999</v>
      </c>
      <c r="H118" s="3" t="s">
        <v>37</v>
      </c>
      <c r="I118" s="7" t="s">
        <v>380</v>
      </c>
      <c r="J118" s="7" t="s">
        <v>30</v>
      </c>
      <c r="K118" s="7" t="s">
        <v>31</v>
      </c>
      <c r="L118" s="3">
        <f t="shared" si="10"/>
        <v>141.44999999999999</v>
      </c>
      <c r="M118" s="3" t="s">
        <v>37</v>
      </c>
      <c r="N118" s="7">
        <v>45</v>
      </c>
      <c r="O118" s="7" t="s">
        <v>30</v>
      </c>
      <c r="P118" s="7" t="s">
        <v>31</v>
      </c>
      <c r="Q118" s="3">
        <f t="shared" si="11"/>
        <v>155.25</v>
      </c>
      <c r="ZH118" s="8" t="s">
        <v>184</v>
      </c>
    </row>
    <row r="119" spans="2:684" x14ac:dyDescent="0.2">
      <c r="ZH119" s="8" t="s">
        <v>185</v>
      </c>
    </row>
    <row r="120" spans="2:684" x14ac:dyDescent="0.2">
      <c r="B120" s="11"/>
      <c r="C120" s="12"/>
      <c r="D120" s="12"/>
      <c r="E120" s="13"/>
      <c r="F120" s="3" t="s">
        <v>405</v>
      </c>
      <c r="G120" s="3" t="s">
        <v>1</v>
      </c>
      <c r="H120" s="3" t="s">
        <v>2</v>
      </c>
      <c r="I120" s="3" t="s">
        <v>406</v>
      </c>
      <c r="ZH120" s="8" t="s">
        <v>186</v>
      </c>
    </row>
    <row r="121" spans="2:684" x14ac:dyDescent="0.2">
      <c r="B121" s="14" t="s">
        <v>402</v>
      </c>
      <c r="C121" s="14"/>
      <c r="D121" s="14"/>
      <c r="E121" s="14"/>
      <c r="F121" s="9">
        <v>708930</v>
      </c>
      <c r="G121" s="9">
        <v>708930</v>
      </c>
      <c r="H121" s="9">
        <v>715029</v>
      </c>
      <c r="I121" s="9">
        <f>F121+G121+H121</f>
        <v>2132889</v>
      </c>
      <c r="ZH121" s="8" t="s">
        <v>187</v>
      </c>
    </row>
    <row r="122" spans="2:684" x14ac:dyDescent="0.2">
      <c r="B122" s="14" t="s">
        <v>403</v>
      </c>
      <c r="C122" s="14"/>
      <c r="D122" s="14"/>
      <c r="E122" s="14"/>
      <c r="F122" s="9">
        <v>106339.5</v>
      </c>
      <c r="G122" s="9">
        <v>106339.5</v>
      </c>
      <c r="H122" s="9">
        <v>107254.35</v>
      </c>
      <c r="I122" s="9">
        <f>F122+G122+H122</f>
        <v>319933.34999999998</v>
      </c>
      <c r="ZH122" s="8" t="s">
        <v>188</v>
      </c>
    </row>
    <row r="123" spans="2:684" x14ac:dyDescent="0.2">
      <c r="B123" s="14" t="s">
        <v>404</v>
      </c>
      <c r="C123" s="14"/>
      <c r="D123" s="14"/>
      <c r="E123" s="14"/>
      <c r="F123" s="9">
        <v>815269.49999999965</v>
      </c>
      <c r="G123" s="9">
        <v>815269.49999999965</v>
      </c>
      <c r="H123" s="9">
        <v>822283.35000000009</v>
      </c>
      <c r="I123" s="9">
        <f>F123+G123+H123</f>
        <v>2452822.3499999996</v>
      </c>
      <c r="ZH123" s="8" t="s">
        <v>189</v>
      </c>
    </row>
    <row r="124" spans="2:684" x14ac:dyDescent="0.2">
      <c r="ZH124" s="8" t="s">
        <v>190</v>
      </c>
    </row>
    <row r="125" spans="2:684" x14ac:dyDescent="0.2">
      <c r="ZH125" s="8" t="s">
        <v>191</v>
      </c>
    </row>
    <row r="126" spans="2:684" x14ac:dyDescent="0.2">
      <c r="ZH126" s="8" t="s">
        <v>192</v>
      </c>
    </row>
    <row r="127" spans="2:684" x14ac:dyDescent="0.2">
      <c r="B127" s="17" t="s">
        <v>394</v>
      </c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ZH127" s="8" t="s">
        <v>122</v>
      </c>
    </row>
    <row r="128" spans="2:684" x14ac:dyDescent="0.2">
      <c r="B128" s="5"/>
      <c r="C128" s="5"/>
      <c r="D128" s="5"/>
      <c r="E128" s="5"/>
      <c r="F128" s="5"/>
      <c r="G128" s="5"/>
      <c r="H128" s="6"/>
      <c r="I128" s="5"/>
      <c r="J128" s="5"/>
      <c r="K128" s="6"/>
      <c r="L128" s="15" t="s">
        <v>0</v>
      </c>
      <c r="M128" s="16"/>
      <c r="N128" s="16"/>
      <c r="O128" s="16"/>
      <c r="P128" s="15"/>
      <c r="Q128" s="15" t="s">
        <v>1</v>
      </c>
      <c r="R128" s="16"/>
      <c r="S128" s="16"/>
      <c r="T128" s="16"/>
      <c r="U128" s="15"/>
      <c r="V128" s="15" t="s">
        <v>2</v>
      </c>
      <c r="W128" s="16"/>
      <c r="X128" s="16"/>
      <c r="Y128" s="16"/>
      <c r="Z128" s="15"/>
      <c r="ZH128" s="8" t="s">
        <v>193</v>
      </c>
    </row>
    <row r="129" spans="2:684" x14ac:dyDescent="0.2">
      <c r="B129" s="5" t="s">
        <v>5</v>
      </c>
      <c r="C129" s="5" t="s">
        <v>6</v>
      </c>
      <c r="D129" s="5" t="s">
        <v>7</v>
      </c>
      <c r="E129" s="5" t="s">
        <v>8</v>
      </c>
      <c r="F129" s="5" t="s">
        <v>9</v>
      </c>
      <c r="G129" s="5" t="s">
        <v>10</v>
      </c>
      <c r="H129" s="6" t="s">
        <v>11</v>
      </c>
      <c r="I129" s="5" t="s">
        <v>12</v>
      </c>
      <c r="J129" s="5" t="s">
        <v>13</v>
      </c>
      <c r="K129" s="6" t="s">
        <v>14</v>
      </c>
      <c r="L129" s="5" t="s">
        <v>15</v>
      </c>
      <c r="M129" s="6" t="s">
        <v>16</v>
      </c>
      <c r="N129" s="6" t="s">
        <v>17</v>
      </c>
      <c r="O129" s="6" t="s">
        <v>18</v>
      </c>
      <c r="P129" s="5" t="s">
        <v>19</v>
      </c>
      <c r="Q129" s="5" t="s">
        <v>15</v>
      </c>
      <c r="R129" s="6" t="s">
        <v>16</v>
      </c>
      <c r="S129" s="6" t="s">
        <v>17</v>
      </c>
      <c r="T129" s="6" t="s">
        <v>18</v>
      </c>
      <c r="U129" s="5" t="s">
        <v>19</v>
      </c>
      <c r="V129" s="5" t="s">
        <v>15</v>
      </c>
      <c r="W129" s="6" t="s">
        <v>16</v>
      </c>
      <c r="X129" s="6" t="s">
        <v>17</v>
      </c>
      <c r="Y129" s="6" t="s">
        <v>18</v>
      </c>
      <c r="Z129" s="5" t="s">
        <v>19</v>
      </c>
      <c r="ZH129" s="8" t="s">
        <v>194</v>
      </c>
    </row>
    <row r="130" spans="2:684" x14ac:dyDescent="0.2">
      <c r="B130" s="3">
        <v>1</v>
      </c>
      <c r="C130" s="3"/>
      <c r="D130" s="3">
        <v>1</v>
      </c>
      <c r="E130" s="3" t="s">
        <v>383</v>
      </c>
      <c r="F130" s="3" t="s">
        <v>384</v>
      </c>
      <c r="G130" s="3" t="s">
        <v>385</v>
      </c>
      <c r="H130" s="7" t="s">
        <v>27</v>
      </c>
      <c r="I130" s="3" t="s">
        <v>28</v>
      </c>
      <c r="J130" s="3">
        <v>6016</v>
      </c>
      <c r="K130" s="7" t="s">
        <v>21</v>
      </c>
      <c r="L130" s="3">
        <v>14</v>
      </c>
      <c r="M130" s="7">
        <v>45</v>
      </c>
      <c r="N130" s="7">
        <v>0</v>
      </c>
      <c r="O130" s="7">
        <v>15</v>
      </c>
      <c r="P130" s="3">
        <f>(((M130*L130)-((M130*L130)*(N130/100)))+(((M130*L130)-((M130*L130)*(N130/100)))*O130/100))</f>
        <v>724.5</v>
      </c>
      <c r="Q130" s="3">
        <v>0</v>
      </c>
      <c r="R130" s="7">
        <v>0</v>
      </c>
      <c r="S130" s="7">
        <v>0</v>
      </c>
      <c r="T130" s="7">
        <v>0</v>
      </c>
      <c r="U130" s="3">
        <f>(((R130*Q130)-((R130*Q130)*(S130/100)))+(((R130*Q130)-((R130*Q130)*(S130/100)))*T130/100))</f>
        <v>0</v>
      </c>
      <c r="V130" s="3">
        <v>0</v>
      </c>
      <c r="W130" s="7">
        <v>0</v>
      </c>
      <c r="X130" s="7">
        <v>0</v>
      </c>
      <c r="Y130" s="7">
        <v>0</v>
      </c>
      <c r="Z130" s="3">
        <f>(((W130*V130)-((W130*V130)*(X130/100)))+(((W130*V130)-((W130*V130)*(X130/100)))*Y130/100))</f>
        <v>0</v>
      </c>
      <c r="ZH130" s="8" t="s">
        <v>195</v>
      </c>
    </row>
    <row r="131" spans="2:684" x14ac:dyDescent="0.2">
      <c r="B131" s="3">
        <v>2</v>
      </c>
      <c r="C131" s="3"/>
      <c r="D131" s="3">
        <v>2</v>
      </c>
      <c r="E131" s="3" t="s">
        <v>386</v>
      </c>
      <c r="F131" s="3" t="s">
        <v>387</v>
      </c>
      <c r="G131" s="3" t="s">
        <v>388</v>
      </c>
      <c r="H131" s="7" t="s">
        <v>27</v>
      </c>
      <c r="I131" s="3" t="s">
        <v>28</v>
      </c>
      <c r="J131" s="3">
        <v>6017</v>
      </c>
      <c r="K131" s="7" t="s">
        <v>21</v>
      </c>
      <c r="L131" s="3">
        <v>250</v>
      </c>
      <c r="M131" s="7">
        <v>15</v>
      </c>
      <c r="N131" s="7">
        <v>0</v>
      </c>
      <c r="O131" s="7">
        <v>15</v>
      </c>
      <c r="P131" s="3">
        <f>(((M131*L131)-((M131*L131)*(N131/100)))+(((M131*L131)-((M131*L131)*(N131/100)))*O131/100))</f>
        <v>4312.5</v>
      </c>
      <c r="Q131" s="3">
        <v>0</v>
      </c>
      <c r="R131" s="7">
        <v>0</v>
      </c>
      <c r="S131" s="7">
        <v>0</v>
      </c>
      <c r="T131" s="7">
        <v>0</v>
      </c>
      <c r="U131" s="3">
        <f>(((R131*Q131)-((R131*Q131)*(S131/100)))+(((R131*Q131)-((R131*Q131)*(S131/100)))*T131/100))</f>
        <v>0</v>
      </c>
      <c r="V131" s="3">
        <v>0</v>
      </c>
      <c r="W131" s="7">
        <v>0</v>
      </c>
      <c r="X131" s="7">
        <v>0</v>
      </c>
      <c r="Y131" s="7">
        <v>0</v>
      </c>
      <c r="Z131" s="3">
        <f>(((W131*V131)-((W131*V131)*(X131/100)))+(((W131*V131)-((W131*V131)*(X131/100)))*Y131/100))</f>
        <v>0</v>
      </c>
      <c r="ZH131" s="8" t="s">
        <v>196</v>
      </c>
    </row>
    <row r="132" spans="2:684" x14ac:dyDescent="0.2">
      <c r="B132" s="3">
        <v>3</v>
      </c>
      <c r="C132" s="3"/>
      <c r="D132" s="3">
        <v>3</v>
      </c>
      <c r="E132" s="3" t="s">
        <v>389</v>
      </c>
      <c r="F132" s="3" t="s">
        <v>390</v>
      </c>
      <c r="G132" s="3" t="s">
        <v>391</v>
      </c>
      <c r="H132" s="7"/>
      <c r="I132" s="3" t="s">
        <v>392</v>
      </c>
      <c r="J132" s="3"/>
      <c r="K132" s="7" t="s">
        <v>21</v>
      </c>
      <c r="L132" s="3">
        <v>14</v>
      </c>
      <c r="M132" s="7">
        <v>25</v>
      </c>
      <c r="N132" s="7">
        <v>0</v>
      </c>
      <c r="O132" s="7">
        <v>15</v>
      </c>
      <c r="P132" s="3">
        <f>(((M132*L132)-((M132*L132)*(N132/100)))+(((M132*L132)-((M132*L132)*(N132/100)))*O132/100))</f>
        <v>402.5</v>
      </c>
      <c r="Q132" s="3">
        <v>0</v>
      </c>
      <c r="R132" s="7">
        <v>0</v>
      </c>
      <c r="S132" s="7">
        <v>0</v>
      </c>
      <c r="T132" s="7">
        <v>0</v>
      </c>
      <c r="U132" s="3">
        <f>(((R132*Q132)-((R132*Q132)*(S132/100)))+(((R132*Q132)-((R132*Q132)*(S132/100)))*T132/100))</f>
        <v>0</v>
      </c>
      <c r="V132" s="3">
        <v>0</v>
      </c>
      <c r="W132" s="7">
        <v>0</v>
      </c>
      <c r="X132" s="7">
        <v>0</v>
      </c>
      <c r="Y132" s="7">
        <v>0</v>
      </c>
      <c r="Z132" s="3">
        <f>(((W132*V132)-((W132*V132)*(X132/100)))+(((W132*V132)-((W132*V132)*(X132/100)))*Y132/100))</f>
        <v>0</v>
      </c>
      <c r="ZH132" s="8" t="s">
        <v>197</v>
      </c>
    </row>
    <row r="133" spans="2:684" x14ac:dyDescent="0.2">
      <c r="B133" s="3">
        <v>4</v>
      </c>
      <c r="C133" s="3"/>
      <c r="D133" s="3">
        <v>4</v>
      </c>
      <c r="E133" s="3" t="s">
        <v>389</v>
      </c>
      <c r="F133" s="3" t="s">
        <v>393</v>
      </c>
      <c r="G133" s="3" t="s">
        <v>391</v>
      </c>
      <c r="H133" s="7"/>
      <c r="I133" s="3" t="s">
        <v>392</v>
      </c>
      <c r="J133" s="3"/>
      <c r="K133" s="7" t="s">
        <v>21</v>
      </c>
      <c r="L133" s="3">
        <v>12000</v>
      </c>
      <c r="M133" s="7">
        <v>20</v>
      </c>
      <c r="N133" s="7">
        <v>0</v>
      </c>
      <c r="O133" s="7">
        <v>15</v>
      </c>
      <c r="P133" s="3">
        <f>(((M133*L133)-((M133*L133)*(N133/100)))+(((M133*L133)-((M133*L133)*(N133/100)))*O133/100))</f>
        <v>276000</v>
      </c>
      <c r="Q133" s="3">
        <v>0</v>
      </c>
      <c r="R133" s="7">
        <v>0</v>
      </c>
      <c r="S133" s="7">
        <v>0</v>
      </c>
      <c r="T133" s="7">
        <v>0</v>
      </c>
      <c r="U133" s="3">
        <f>(((R133*Q133)-((R133*Q133)*(S133/100)))+(((R133*Q133)-((R133*Q133)*(S133/100)))*T133/100))</f>
        <v>0</v>
      </c>
      <c r="V133" s="3">
        <v>0</v>
      </c>
      <c r="W133" s="7">
        <v>0</v>
      </c>
      <c r="X133" s="7">
        <v>0</v>
      </c>
      <c r="Y133" s="7">
        <v>0</v>
      </c>
      <c r="Z133" s="3">
        <f>(((W133*V133)-((W133*V133)*(X133/100)))+(((W133*V133)-((W133*V133)*(X133/100)))*Y133/100))</f>
        <v>0</v>
      </c>
      <c r="ZH133" s="8" t="s">
        <v>198</v>
      </c>
    </row>
    <row r="134" spans="2:684" x14ac:dyDescent="0.2">
      <c r="ZH134" s="8" t="s">
        <v>199</v>
      </c>
    </row>
    <row r="135" spans="2:684" x14ac:dyDescent="0.2">
      <c r="B135" s="11"/>
      <c r="C135" s="12"/>
      <c r="D135" s="12"/>
      <c r="E135" s="13"/>
      <c r="F135" s="3" t="s">
        <v>405</v>
      </c>
      <c r="G135" s="3" t="s">
        <v>1</v>
      </c>
      <c r="H135" s="3" t="s">
        <v>2</v>
      </c>
      <c r="I135" s="3" t="s">
        <v>406</v>
      </c>
      <c r="ZH135" s="8" t="s">
        <v>200</v>
      </c>
    </row>
    <row r="136" spans="2:684" x14ac:dyDescent="0.2">
      <c r="B136" s="14" t="s">
        <v>402</v>
      </c>
      <c r="C136" s="14"/>
      <c r="D136" s="14"/>
      <c r="E136" s="14"/>
      <c r="F136" s="9">
        <v>244730</v>
      </c>
      <c r="G136" s="9" t="s">
        <v>410</v>
      </c>
      <c r="H136" s="9" t="s">
        <v>410</v>
      </c>
      <c r="I136" s="9">
        <f>F136</f>
        <v>244730</v>
      </c>
      <c r="ZH136" s="8" t="s">
        <v>201</v>
      </c>
    </row>
    <row r="137" spans="2:684" x14ac:dyDescent="0.2">
      <c r="B137" s="14" t="s">
        <v>403</v>
      </c>
      <c r="C137" s="14"/>
      <c r="D137" s="14"/>
      <c r="E137" s="14"/>
      <c r="F137" s="9">
        <v>36709.5</v>
      </c>
      <c r="G137" s="9" t="s">
        <v>410</v>
      </c>
      <c r="H137" s="9" t="s">
        <v>410</v>
      </c>
      <c r="I137" s="9">
        <f>F137</f>
        <v>36709.5</v>
      </c>
      <c r="ZH137" s="8" t="s">
        <v>202</v>
      </c>
    </row>
    <row r="138" spans="2:684" x14ac:dyDescent="0.2">
      <c r="B138" s="14" t="s">
        <v>404</v>
      </c>
      <c r="C138" s="14"/>
      <c r="D138" s="14"/>
      <c r="E138" s="14"/>
      <c r="F138" s="9">
        <v>281439.5</v>
      </c>
      <c r="G138" s="9" t="s">
        <v>410</v>
      </c>
      <c r="H138" s="9" t="s">
        <v>410</v>
      </c>
      <c r="I138" s="9">
        <v>281439.5</v>
      </c>
      <c r="ZH138" s="8" t="s">
        <v>203</v>
      </c>
    </row>
    <row r="139" spans="2:684" x14ac:dyDescent="0.2">
      <c r="ZH139" s="8" t="s">
        <v>204</v>
      </c>
    </row>
    <row r="140" spans="2:684" x14ac:dyDescent="0.2">
      <c r="ZH140" s="8" t="s">
        <v>205</v>
      </c>
    </row>
    <row r="141" spans="2:684" x14ac:dyDescent="0.2">
      <c r="ZH141" s="8" t="s">
        <v>206</v>
      </c>
    </row>
    <row r="142" spans="2:684" x14ac:dyDescent="0.2">
      <c r="B142" s="17" t="s">
        <v>396</v>
      </c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ZH142" s="8" t="s">
        <v>122</v>
      </c>
    </row>
    <row r="143" spans="2:684" x14ac:dyDescent="0.2">
      <c r="B143" s="5"/>
      <c r="C143" s="5"/>
      <c r="D143" s="5"/>
      <c r="E143" s="5"/>
      <c r="F143" s="5"/>
      <c r="G143" s="5"/>
      <c r="H143" s="6"/>
      <c r="I143" s="5"/>
      <c r="J143" s="5"/>
      <c r="K143" s="6"/>
      <c r="L143" s="15" t="s">
        <v>0</v>
      </c>
      <c r="M143" s="16"/>
      <c r="N143" s="16"/>
      <c r="O143" s="16"/>
      <c r="P143" s="15"/>
      <c r="Q143" s="15" t="s">
        <v>1</v>
      </c>
      <c r="R143" s="16"/>
      <c r="S143" s="16"/>
      <c r="T143" s="16"/>
      <c r="U143" s="15"/>
      <c r="V143" s="15" t="s">
        <v>2</v>
      </c>
      <c r="W143" s="16"/>
      <c r="X143" s="16"/>
      <c r="Y143" s="16"/>
      <c r="Z143" s="15"/>
      <c r="ZH143" s="8" t="s">
        <v>207</v>
      </c>
    </row>
    <row r="144" spans="2:684" x14ac:dyDescent="0.2">
      <c r="B144" s="5" t="s">
        <v>5</v>
      </c>
      <c r="C144" s="5" t="s">
        <v>6</v>
      </c>
      <c r="D144" s="5" t="s">
        <v>7</v>
      </c>
      <c r="E144" s="5" t="s">
        <v>8</v>
      </c>
      <c r="F144" s="5" t="s">
        <v>9</v>
      </c>
      <c r="G144" s="5" t="s">
        <v>10</v>
      </c>
      <c r="H144" s="6" t="s">
        <v>11</v>
      </c>
      <c r="I144" s="5" t="s">
        <v>12</v>
      </c>
      <c r="J144" s="5" t="s">
        <v>13</v>
      </c>
      <c r="K144" s="6" t="s">
        <v>14</v>
      </c>
      <c r="L144" s="5" t="s">
        <v>15</v>
      </c>
      <c r="M144" s="6" t="s">
        <v>16</v>
      </c>
      <c r="N144" s="6" t="s">
        <v>17</v>
      </c>
      <c r="O144" s="6" t="s">
        <v>18</v>
      </c>
      <c r="P144" s="5" t="s">
        <v>19</v>
      </c>
      <c r="Q144" s="5" t="s">
        <v>15</v>
      </c>
      <c r="R144" s="6" t="s">
        <v>16</v>
      </c>
      <c r="S144" s="6" t="s">
        <v>17</v>
      </c>
      <c r="T144" s="6" t="s">
        <v>18</v>
      </c>
      <c r="U144" s="5" t="s">
        <v>19</v>
      </c>
      <c r="V144" s="5" t="s">
        <v>15</v>
      </c>
      <c r="W144" s="6" t="s">
        <v>16</v>
      </c>
      <c r="X144" s="6" t="s">
        <v>17</v>
      </c>
      <c r="Y144" s="6" t="s">
        <v>18</v>
      </c>
      <c r="Z144" s="5" t="s">
        <v>19</v>
      </c>
      <c r="ZH144" s="8" t="s">
        <v>208</v>
      </c>
    </row>
    <row r="145" spans="2:684" x14ac:dyDescent="0.2">
      <c r="B145" s="3">
        <v>1</v>
      </c>
      <c r="C145" s="3"/>
      <c r="D145" s="3">
        <v>1</v>
      </c>
      <c r="E145" s="3" t="s">
        <v>397</v>
      </c>
      <c r="F145" s="3" t="s">
        <v>398</v>
      </c>
      <c r="G145" s="3" t="s">
        <v>399</v>
      </c>
      <c r="H145" s="7" t="s">
        <v>27</v>
      </c>
      <c r="I145" s="3" t="s">
        <v>392</v>
      </c>
      <c r="J145" s="3"/>
      <c r="K145" s="7" t="s">
        <v>21</v>
      </c>
      <c r="L145" s="3">
        <v>10200</v>
      </c>
      <c r="M145" s="7">
        <v>20</v>
      </c>
      <c r="N145" s="7">
        <v>0</v>
      </c>
      <c r="O145" s="7">
        <v>15</v>
      </c>
      <c r="P145" s="3">
        <f>(((M145*L145)-((M145*L145)*(N145/100)))+(((M145*L145)-((M145*L145)*(N145/100)))*O145/100))</f>
        <v>234600</v>
      </c>
      <c r="Q145" s="3">
        <v>10200</v>
      </c>
      <c r="R145" s="7">
        <v>21</v>
      </c>
      <c r="S145" s="7">
        <v>0</v>
      </c>
      <c r="T145" s="7">
        <v>15</v>
      </c>
      <c r="U145" s="3">
        <f>(((R145*Q145)-((R145*Q145)*(S145/100)))+(((R145*Q145)-((R145*Q145)*(S145/100)))*T145/100))</f>
        <v>246330</v>
      </c>
      <c r="V145" s="3">
        <v>10200</v>
      </c>
      <c r="W145" s="7">
        <v>26</v>
      </c>
      <c r="X145" s="7">
        <v>0</v>
      </c>
      <c r="Y145" s="7">
        <v>15</v>
      </c>
      <c r="Z145" s="3">
        <f>(((W145*V145)-((W145*V145)*(X145/100)))+(((W145*V145)-((W145*V145)*(X145/100)))*Y145/100))</f>
        <v>304980</v>
      </c>
      <c r="ZH145" s="8" t="s">
        <v>209</v>
      </c>
    </row>
    <row r="146" spans="2:684" x14ac:dyDescent="0.2">
      <c r="B146" s="3">
        <v>2</v>
      </c>
      <c r="C146" s="3"/>
      <c r="D146" s="3">
        <v>2</v>
      </c>
      <c r="E146" s="3" t="s">
        <v>397</v>
      </c>
      <c r="F146" s="3" t="s">
        <v>400</v>
      </c>
      <c r="G146" s="3" t="s">
        <v>399</v>
      </c>
      <c r="H146" s="7" t="s">
        <v>27</v>
      </c>
      <c r="I146" s="3" t="s">
        <v>392</v>
      </c>
      <c r="J146" s="3"/>
      <c r="K146" s="7" t="s">
        <v>21</v>
      </c>
      <c r="L146" s="3">
        <v>53544</v>
      </c>
      <c r="M146" s="7">
        <v>25</v>
      </c>
      <c r="N146" s="7">
        <v>0</v>
      </c>
      <c r="O146" s="7">
        <v>15</v>
      </c>
      <c r="P146" s="3">
        <f>(((M146*L146)-((M146*L146)*(N146/100)))+(((M146*L146)-((M146*L146)*(N146/100)))*O146/100))</f>
        <v>1539390</v>
      </c>
      <c r="Q146" s="3">
        <v>53544</v>
      </c>
      <c r="R146" s="7">
        <v>26</v>
      </c>
      <c r="S146" s="7">
        <v>0</v>
      </c>
      <c r="T146" s="7">
        <v>15</v>
      </c>
      <c r="U146" s="3">
        <f>(((R146*Q146)-((R146*Q146)*(S146/100)))+(((R146*Q146)-((R146*Q146)*(S146/100)))*T146/100))</f>
        <v>1600965.6</v>
      </c>
      <c r="V146" s="3">
        <v>53544</v>
      </c>
      <c r="W146" s="7">
        <v>29</v>
      </c>
      <c r="X146" s="7">
        <v>0</v>
      </c>
      <c r="Y146" s="7">
        <v>15</v>
      </c>
      <c r="Z146" s="3">
        <f>(((W146*V146)-((W146*V146)*(X146/100)))+(((W146*V146)-((W146*V146)*(X146/100)))*Y146/100))</f>
        <v>1785692.4</v>
      </c>
      <c r="ZH146" s="8" t="s">
        <v>210</v>
      </c>
    </row>
    <row r="147" spans="2:684" x14ac:dyDescent="0.2">
      <c r="B147" s="3">
        <v>3</v>
      </c>
      <c r="C147" s="3"/>
      <c r="D147" s="3">
        <v>3</v>
      </c>
      <c r="E147" s="3" t="s">
        <v>397</v>
      </c>
      <c r="F147" s="3" t="s">
        <v>401</v>
      </c>
      <c r="G147" s="3" t="s">
        <v>399</v>
      </c>
      <c r="H147" s="7" t="s">
        <v>27</v>
      </c>
      <c r="I147" s="3" t="s">
        <v>392</v>
      </c>
      <c r="J147" s="3"/>
      <c r="K147" s="7" t="s">
        <v>21</v>
      </c>
      <c r="L147" s="3">
        <v>8808</v>
      </c>
      <c r="M147" s="7">
        <v>50</v>
      </c>
      <c r="N147" s="7">
        <v>0</v>
      </c>
      <c r="O147" s="7">
        <v>15</v>
      </c>
      <c r="P147" s="3">
        <f>(((M147*L147)-((M147*L147)*(N147/100)))+(((M147*L147)-((M147*L147)*(N147/100)))*O147/100))</f>
        <v>506460</v>
      </c>
      <c r="Q147" s="3">
        <v>8808</v>
      </c>
      <c r="R147" s="7">
        <v>65</v>
      </c>
      <c r="S147" s="7">
        <v>0</v>
      </c>
      <c r="T147" s="7">
        <v>15</v>
      </c>
      <c r="U147" s="3">
        <f>(((R147*Q147)-((R147*Q147)*(S147/100)))+(((R147*Q147)-((R147*Q147)*(S147/100)))*T147/100))</f>
        <v>658398</v>
      </c>
      <c r="V147" s="3">
        <v>8808</v>
      </c>
      <c r="W147" s="7">
        <v>65</v>
      </c>
      <c r="X147" s="7">
        <v>0</v>
      </c>
      <c r="Y147" s="7">
        <v>15</v>
      </c>
      <c r="Z147" s="3">
        <f>(((W147*V147)-((W147*V147)*(X147/100)))+(((W147*V147)-((W147*V147)*(X147/100)))*Y147/100))</f>
        <v>658398</v>
      </c>
      <c r="ZH147" s="8" t="s">
        <v>211</v>
      </c>
    </row>
    <row r="148" spans="2:684" x14ac:dyDescent="0.2">
      <c r="ZH148" s="8" t="s">
        <v>212</v>
      </c>
    </row>
    <row r="149" spans="2:684" x14ac:dyDescent="0.2">
      <c r="B149" s="11"/>
      <c r="C149" s="12"/>
      <c r="D149" s="12"/>
      <c r="E149" s="13"/>
      <c r="F149" s="3" t="s">
        <v>405</v>
      </c>
      <c r="G149" s="3" t="s">
        <v>1</v>
      </c>
      <c r="H149" s="3" t="s">
        <v>2</v>
      </c>
      <c r="I149" s="3" t="s">
        <v>406</v>
      </c>
      <c r="ZH149" s="8" t="s">
        <v>213</v>
      </c>
    </row>
    <row r="150" spans="2:684" x14ac:dyDescent="0.2">
      <c r="B150" s="14" t="s">
        <v>402</v>
      </c>
      <c r="C150" s="14"/>
      <c r="D150" s="14"/>
      <c r="E150" s="14"/>
      <c r="F150" s="9">
        <v>1983000</v>
      </c>
      <c r="G150" s="9">
        <v>2178864</v>
      </c>
      <c r="H150" s="9">
        <v>2390496</v>
      </c>
      <c r="I150" s="9">
        <f>F150+G150+H150</f>
        <v>6552360</v>
      </c>
      <c r="ZH150" s="8" t="s">
        <v>214</v>
      </c>
    </row>
    <row r="151" spans="2:684" x14ac:dyDescent="0.2">
      <c r="B151" s="14" t="s">
        <v>403</v>
      </c>
      <c r="C151" s="14"/>
      <c r="D151" s="14"/>
      <c r="E151" s="14"/>
      <c r="F151" s="9">
        <v>297450</v>
      </c>
      <c r="G151" s="9">
        <v>326829.59999999998</v>
      </c>
      <c r="H151" s="9">
        <v>358574.4</v>
      </c>
      <c r="I151" s="9">
        <f>F151+G151+H151</f>
        <v>982854</v>
      </c>
      <c r="ZH151" s="8" t="s">
        <v>215</v>
      </c>
    </row>
    <row r="152" spans="2:684" x14ac:dyDescent="0.2">
      <c r="B152" s="14" t="s">
        <v>404</v>
      </c>
      <c r="C152" s="14"/>
      <c r="D152" s="14"/>
      <c r="E152" s="14"/>
      <c r="F152" s="9">
        <v>2280450</v>
      </c>
      <c r="G152" s="9">
        <v>2505693.6</v>
      </c>
      <c r="H152" s="9">
        <v>2749070.4</v>
      </c>
      <c r="I152" s="9">
        <f>F152+G152+H152</f>
        <v>7535214</v>
      </c>
      <c r="ZH152" s="8" t="s">
        <v>216</v>
      </c>
    </row>
    <row r="153" spans="2:684" x14ac:dyDescent="0.2">
      <c r="ZH153" s="8" t="s">
        <v>217</v>
      </c>
    </row>
    <row r="154" spans="2:684" x14ac:dyDescent="0.2">
      <c r="ZH154" s="8" t="s">
        <v>218</v>
      </c>
    </row>
    <row r="155" spans="2:684" x14ac:dyDescent="0.2">
      <c r="ZH155" s="8" t="s">
        <v>219</v>
      </c>
    </row>
    <row r="156" spans="2:684" x14ac:dyDescent="0.2">
      <c r="ZH156" s="8" t="s">
        <v>220</v>
      </c>
    </row>
    <row r="157" spans="2:684" x14ac:dyDescent="0.2">
      <c r="ZH157" s="8" t="s">
        <v>221</v>
      </c>
    </row>
    <row r="158" spans="2:684" x14ac:dyDescent="0.2">
      <c r="ZH158" s="8" t="s">
        <v>222</v>
      </c>
    </row>
    <row r="159" spans="2:684" x14ac:dyDescent="0.2">
      <c r="ZH159" s="8" t="s">
        <v>223</v>
      </c>
    </row>
    <row r="160" spans="2:684" x14ac:dyDescent="0.2">
      <c r="ZH160" s="8" t="s">
        <v>224</v>
      </c>
    </row>
    <row r="161" spans="6:684" x14ac:dyDescent="0.2">
      <c r="ZH161" s="8" t="s">
        <v>225</v>
      </c>
    </row>
    <row r="162" spans="6:684" x14ac:dyDescent="0.2">
      <c r="ZH162" s="8" t="s">
        <v>226</v>
      </c>
    </row>
    <row r="163" spans="6:684" x14ac:dyDescent="0.2">
      <c r="ZH163" s="8" t="s">
        <v>227</v>
      </c>
    </row>
    <row r="164" spans="6:684" x14ac:dyDescent="0.2">
      <c r="ZH164" s="8" t="s">
        <v>228</v>
      </c>
    </row>
    <row r="165" spans="6:684" x14ac:dyDescent="0.2">
      <c r="ZH165" s="8" t="s">
        <v>229</v>
      </c>
    </row>
    <row r="166" spans="6:684" ht="36.950000000000003" customHeight="1" x14ac:dyDescent="0.2">
      <c r="F166" s="10" t="s">
        <v>407</v>
      </c>
      <c r="G166" s="10"/>
      <c r="H166" s="4">
        <v>17221003.699999999</v>
      </c>
      <c r="I166" s="10"/>
      <c r="J166" s="10"/>
      <c r="K166" s="10"/>
      <c r="L166" s="10"/>
      <c r="M166" s="10"/>
      <c r="N166" s="10"/>
      <c r="ZH166" s="8" t="s">
        <v>230</v>
      </c>
    </row>
    <row r="167" spans="6:684" ht="36.950000000000003" customHeight="1" x14ac:dyDescent="0.2">
      <c r="F167" s="10" t="s">
        <v>403</v>
      </c>
      <c r="G167" s="10"/>
      <c r="H167" s="4">
        <v>2583150.56</v>
      </c>
      <c r="I167" s="10"/>
      <c r="J167" s="10"/>
      <c r="K167" s="10"/>
      <c r="L167" s="10"/>
      <c r="M167" s="10"/>
      <c r="N167" s="10"/>
      <c r="ZH167" s="8" t="s">
        <v>231</v>
      </c>
    </row>
    <row r="168" spans="6:684" ht="36.950000000000003" customHeight="1" x14ac:dyDescent="0.2">
      <c r="F168" s="10" t="s">
        <v>408</v>
      </c>
      <c r="G168" s="10"/>
      <c r="H168" s="4">
        <f>I152+I138+I123+I51+I24</f>
        <v>19804154.25</v>
      </c>
      <c r="I168" s="10" t="s">
        <v>409</v>
      </c>
      <c r="J168" s="10"/>
      <c r="K168" s="10"/>
      <c r="L168" s="10"/>
      <c r="M168" s="10"/>
      <c r="N168" s="10"/>
      <c r="ZH168" s="8" t="s">
        <v>232</v>
      </c>
    </row>
    <row r="169" spans="6:684" x14ac:dyDescent="0.2">
      <c r="ZH169" s="8" t="s">
        <v>233</v>
      </c>
    </row>
    <row r="170" spans="6:684" x14ac:dyDescent="0.2">
      <c r="ZH170" s="8" t="s">
        <v>234</v>
      </c>
    </row>
    <row r="171" spans="6:684" x14ac:dyDescent="0.2">
      <c r="ZH171" s="8" t="s">
        <v>235</v>
      </c>
    </row>
    <row r="172" spans="6:684" x14ac:dyDescent="0.2">
      <c r="ZH172" s="8" t="s">
        <v>236</v>
      </c>
    </row>
    <row r="173" spans="6:684" x14ac:dyDescent="0.2">
      <c r="ZH173" s="8" t="s">
        <v>237</v>
      </c>
    </row>
    <row r="174" spans="6:684" x14ac:dyDescent="0.2">
      <c r="ZH174" s="8" t="s">
        <v>238</v>
      </c>
    </row>
    <row r="175" spans="6:684" x14ac:dyDescent="0.2">
      <c r="ZH175" s="8" t="s">
        <v>239</v>
      </c>
    </row>
    <row r="176" spans="6:684" x14ac:dyDescent="0.2">
      <c r="ZH176" s="8" t="s">
        <v>240</v>
      </c>
    </row>
    <row r="177" spans="684:684" x14ac:dyDescent="0.2">
      <c r="ZH177" s="8" t="s">
        <v>241</v>
      </c>
    </row>
    <row r="178" spans="684:684" x14ac:dyDescent="0.2">
      <c r="ZH178" s="8" t="s">
        <v>242</v>
      </c>
    </row>
    <row r="179" spans="684:684" x14ac:dyDescent="0.2">
      <c r="ZH179" s="8" t="s">
        <v>243</v>
      </c>
    </row>
    <row r="180" spans="684:684" x14ac:dyDescent="0.2">
      <c r="ZH180" s="8" t="s">
        <v>244</v>
      </c>
    </row>
    <row r="181" spans="684:684" x14ac:dyDescent="0.2">
      <c r="ZH181" s="8" t="s">
        <v>245</v>
      </c>
    </row>
    <row r="182" spans="684:684" x14ac:dyDescent="0.2">
      <c r="ZH182" s="8" t="s">
        <v>246</v>
      </c>
    </row>
    <row r="183" spans="684:684" x14ac:dyDescent="0.2">
      <c r="ZH183" s="8" t="s">
        <v>247</v>
      </c>
    </row>
    <row r="184" spans="684:684" x14ac:dyDescent="0.2">
      <c r="ZH184" s="8" t="s">
        <v>248</v>
      </c>
    </row>
    <row r="185" spans="684:684" x14ac:dyDescent="0.2">
      <c r="ZH185" s="8" t="s">
        <v>249</v>
      </c>
    </row>
    <row r="186" spans="684:684" x14ac:dyDescent="0.2">
      <c r="ZH186" s="8" t="s">
        <v>250</v>
      </c>
    </row>
    <row r="187" spans="684:684" x14ac:dyDescent="0.2">
      <c r="ZH187" s="8" t="s">
        <v>251</v>
      </c>
    </row>
    <row r="188" spans="684:684" x14ac:dyDescent="0.2">
      <c r="ZH188" s="8" t="s">
        <v>252</v>
      </c>
    </row>
    <row r="189" spans="684:684" x14ac:dyDescent="0.2">
      <c r="ZH189" s="8" t="s">
        <v>253</v>
      </c>
    </row>
    <row r="190" spans="684:684" x14ac:dyDescent="0.2">
      <c r="ZH190" s="8" t="s">
        <v>254</v>
      </c>
    </row>
    <row r="191" spans="684:684" x14ac:dyDescent="0.2">
      <c r="ZH191" s="8" t="s">
        <v>255</v>
      </c>
    </row>
    <row r="192" spans="684:684" x14ac:dyDescent="0.2">
      <c r="ZH192" s="8" t="s">
        <v>256</v>
      </c>
    </row>
    <row r="193" spans="684:684" x14ac:dyDescent="0.2">
      <c r="ZH193" s="8" t="s">
        <v>257</v>
      </c>
    </row>
    <row r="194" spans="684:684" x14ac:dyDescent="0.2">
      <c r="ZH194" s="8" t="s">
        <v>258</v>
      </c>
    </row>
    <row r="195" spans="684:684" x14ac:dyDescent="0.2">
      <c r="ZH195" s="8" t="s">
        <v>259</v>
      </c>
    </row>
    <row r="196" spans="684:684" x14ac:dyDescent="0.2">
      <c r="ZH196" s="8" t="s">
        <v>260</v>
      </c>
    </row>
    <row r="197" spans="684:684" x14ac:dyDescent="0.2">
      <c r="ZH197" s="8" t="s">
        <v>261</v>
      </c>
    </row>
    <row r="198" spans="684:684" x14ac:dyDescent="0.2">
      <c r="ZH198" s="8" t="s">
        <v>262</v>
      </c>
    </row>
    <row r="199" spans="684:684" x14ac:dyDescent="0.2">
      <c r="ZH199" s="8" t="s">
        <v>263</v>
      </c>
    </row>
    <row r="200" spans="684:684" x14ac:dyDescent="0.2">
      <c r="ZH200" s="8" t="s">
        <v>264</v>
      </c>
    </row>
    <row r="201" spans="684:684" x14ac:dyDescent="0.2">
      <c r="ZH201" s="8" t="s">
        <v>265</v>
      </c>
    </row>
    <row r="202" spans="684:684" x14ac:dyDescent="0.2">
      <c r="ZH202" s="8" t="s">
        <v>266</v>
      </c>
    </row>
    <row r="203" spans="684:684" x14ac:dyDescent="0.2">
      <c r="ZH203" s="8" t="s">
        <v>267</v>
      </c>
    </row>
    <row r="204" spans="684:684" x14ac:dyDescent="0.2">
      <c r="ZH204" s="8" t="s">
        <v>268</v>
      </c>
    </row>
    <row r="205" spans="684:684" x14ac:dyDescent="0.2">
      <c r="ZH205" s="8" t="s">
        <v>269</v>
      </c>
    </row>
    <row r="206" spans="684:684" x14ac:dyDescent="0.2">
      <c r="ZH206" s="8" t="s">
        <v>270</v>
      </c>
    </row>
    <row r="207" spans="684:684" x14ac:dyDescent="0.2">
      <c r="ZH207" s="8" t="s">
        <v>271</v>
      </c>
    </row>
    <row r="208" spans="684:684" x14ac:dyDescent="0.2">
      <c r="ZH208" s="8" t="s">
        <v>272</v>
      </c>
    </row>
    <row r="209" spans="684:684" x14ac:dyDescent="0.2">
      <c r="ZH209" s="8" t="s">
        <v>273</v>
      </c>
    </row>
    <row r="210" spans="684:684" x14ac:dyDescent="0.2">
      <c r="ZH210" s="8" t="s">
        <v>274</v>
      </c>
    </row>
    <row r="211" spans="684:684" x14ac:dyDescent="0.2">
      <c r="ZH211" s="8" t="s">
        <v>275</v>
      </c>
    </row>
    <row r="212" spans="684:684" x14ac:dyDescent="0.2">
      <c r="ZH212" s="8" t="s">
        <v>276</v>
      </c>
    </row>
    <row r="213" spans="684:684" x14ac:dyDescent="0.2">
      <c r="ZH213" s="8" t="s">
        <v>277</v>
      </c>
    </row>
    <row r="214" spans="684:684" x14ac:dyDescent="0.2">
      <c r="ZH214" s="8" t="s">
        <v>278</v>
      </c>
    </row>
    <row r="215" spans="684:684" x14ac:dyDescent="0.2">
      <c r="ZH215" s="8" t="s">
        <v>279</v>
      </c>
    </row>
    <row r="216" spans="684:684" x14ac:dyDescent="0.2">
      <c r="ZH216" s="8" t="s">
        <v>280</v>
      </c>
    </row>
    <row r="217" spans="684:684" x14ac:dyDescent="0.2">
      <c r="ZH217" s="8" t="s">
        <v>281</v>
      </c>
    </row>
    <row r="218" spans="684:684" x14ac:dyDescent="0.2">
      <c r="ZH218" s="8" t="s">
        <v>282</v>
      </c>
    </row>
    <row r="219" spans="684:684" x14ac:dyDescent="0.2">
      <c r="ZH219" s="8" t="s">
        <v>283</v>
      </c>
    </row>
    <row r="220" spans="684:684" x14ac:dyDescent="0.2">
      <c r="ZH220" s="8" t="s">
        <v>284</v>
      </c>
    </row>
    <row r="221" spans="684:684" x14ac:dyDescent="0.2">
      <c r="ZH221" s="8" t="s">
        <v>285</v>
      </c>
    </row>
    <row r="222" spans="684:684" x14ac:dyDescent="0.2">
      <c r="ZH222" s="8" t="s">
        <v>286</v>
      </c>
    </row>
    <row r="223" spans="684:684" x14ac:dyDescent="0.2">
      <c r="ZH223" s="8" t="s">
        <v>287</v>
      </c>
    </row>
    <row r="224" spans="684:684" x14ac:dyDescent="0.2">
      <c r="ZH224" s="8" t="s">
        <v>288</v>
      </c>
    </row>
    <row r="225" spans="684:684" x14ac:dyDescent="0.2">
      <c r="ZH225" s="8" t="s">
        <v>289</v>
      </c>
    </row>
    <row r="226" spans="684:684" x14ac:dyDescent="0.2">
      <c r="ZH226" s="8" t="s">
        <v>290</v>
      </c>
    </row>
    <row r="227" spans="684:684" x14ac:dyDescent="0.2">
      <c r="ZH227" s="8" t="s">
        <v>291</v>
      </c>
    </row>
    <row r="228" spans="684:684" x14ac:dyDescent="0.2">
      <c r="ZH228" s="8" t="s">
        <v>292</v>
      </c>
    </row>
    <row r="229" spans="684:684" x14ac:dyDescent="0.2">
      <c r="ZH229" s="8" t="s">
        <v>293</v>
      </c>
    </row>
    <row r="230" spans="684:684" x14ac:dyDescent="0.2">
      <c r="ZH230" s="8" t="s">
        <v>294</v>
      </c>
    </row>
    <row r="231" spans="684:684" x14ac:dyDescent="0.2">
      <c r="ZH231" s="8" t="s">
        <v>295</v>
      </c>
    </row>
    <row r="232" spans="684:684" x14ac:dyDescent="0.2">
      <c r="ZH232" s="8" t="s">
        <v>296</v>
      </c>
    </row>
    <row r="233" spans="684:684" x14ac:dyDescent="0.2">
      <c r="ZH233" s="8" t="s">
        <v>297</v>
      </c>
    </row>
    <row r="234" spans="684:684" x14ac:dyDescent="0.2">
      <c r="ZH234" s="8" t="s">
        <v>298</v>
      </c>
    </row>
    <row r="235" spans="684:684" x14ac:dyDescent="0.2">
      <c r="ZH235" s="8" t="s">
        <v>299</v>
      </c>
    </row>
    <row r="236" spans="684:684" x14ac:dyDescent="0.2">
      <c r="ZH236" s="8" t="s">
        <v>300</v>
      </c>
    </row>
    <row r="237" spans="684:684" x14ac:dyDescent="0.2">
      <c r="ZH237" s="8" t="s">
        <v>301</v>
      </c>
    </row>
    <row r="238" spans="684:684" x14ac:dyDescent="0.2">
      <c r="ZH238" s="8" t="s">
        <v>302</v>
      </c>
    </row>
    <row r="239" spans="684:684" x14ac:dyDescent="0.2">
      <c r="ZH239" s="8" t="s">
        <v>303</v>
      </c>
    </row>
    <row r="240" spans="684:684" x14ac:dyDescent="0.2">
      <c r="ZH240" s="8" t="s">
        <v>304</v>
      </c>
    </row>
    <row r="241" spans="684:684" x14ac:dyDescent="0.2">
      <c r="ZH241" s="8" t="s">
        <v>305</v>
      </c>
    </row>
    <row r="242" spans="684:684" x14ac:dyDescent="0.2">
      <c r="ZH242" s="8" t="s">
        <v>306</v>
      </c>
    </row>
    <row r="243" spans="684:684" x14ac:dyDescent="0.2">
      <c r="ZH243" s="8" t="s">
        <v>307</v>
      </c>
    </row>
    <row r="244" spans="684:684" x14ac:dyDescent="0.2">
      <c r="ZH244" s="8" t="s">
        <v>308</v>
      </c>
    </row>
    <row r="245" spans="684:684" x14ac:dyDescent="0.2">
      <c r="ZH245" s="8" t="s">
        <v>309</v>
      </c>
    </row>
    <row r="246" spans="684:684" x14ac:dyDescent="0.2">
      <c r="ZH246" s="8" t="s">
        <v>310</v>
      </c>
    </row>
    <row r="247" spans="684:684" x14ac:dyDescent="0.2">
      <c r="ZH247" s="8" t="s">
        <v>311</v>
      </c>
    </row>
    <row r="248" spans="684:684" x14ac:dyDescent="0.2">
      <c r="ZH248" s="8" t="s">
        <v>312</v>
      </c>
    </row>
  </sheetData>
  <mergeCells count="46">
    <mergeCell ref="L2:P2"/>
    <mergeCell ref="Q2:U2"/>
    <mergeCell ref="V2:Z2"/>
    <mergeCell ref="B1:Z1"/>
    <mergeCell ref="B136:E136"/>
    <mergeCell ref="B21:E21"/>
    <mergeCell ref="B137:E137"/>
    <mergeCell ref="B138:E138"/>
    <mergeCell ref="B30:Z30"/>
    <mergeCell ref="L31:P31"/>
    <mergeCell ref="Q31:U31"/>
    <mergeCell ref="V31:Z31"/>
    <mergeCell ref="B56:Z56"/>
    <mergeCell ref="C57:G57"/>
    <mergeCell ref="H57:L57"/>
    <mergeCell ref="M57:Q57"/>
    <mergeCell ref="B48:E48"/>
    <mergeCell ref="B49:E49"/>
    <mergeCell ref="B50:E50"/>
    <mergeCell ref="B51:E51"/>
    <mergeCell ref="L143:P143"/>
    <mergeCell ref="Q143:U143"/>
    <mergeCell ref="V143:Z143"/>
    <mergeCell ref="B22:E22"/>
    <mergeCell ref="B23:E23"/>
    <mergeCell ref="B24:E24"/>
    <mergeCell ref="B120:E120"/>
    <mergeCell ref="B121:E121"/>
    <mergeCell ref="B122:E122"/>
    <mergeCell ref="B123:E123"/>
    <mergeCell ref="L128:P128"/>
    <mergeCell ref="Q128:U128"/>
    <mergeCell ref="V128:Z128"/>
    <mergeCell ref="B127:Z127"/>
    <mergeCell ref="B142:Z142"/>
    <mergeCell ref="B135:E135"/>
    <mergeCell ref="I168:N168"/>
    <mergeCell ref="I166:N166"/>
    <mergeCell ref="I167:N167"/>
    <mergeCell ref="B149:E149"/>
    <mergeCell ref="B150:E150"/>
    <mergeCell ref="B151:E151"/>
    <mergeCell ref="B152:E152"/>
    <mergeCell ref="F168:G168"/>
    <mergeCell ref="F167:G167"/>
    <mergeCell ref="F166:G166"/>
  </mergeCells>
  <dataValidations count="16">
    <dataValidation allowBlank="1" showInputMessage="1" showErrorMessage="1" sqref="P4:P20 U4:U20 Z4:Z20 P33:P46 U33:U46 Z33:Z46 G59:G118 L59:L118 Q59:Q118 P130:P133 U130:U133 Z130:Z133 P145:P147 U145:U147 Z145:Z147" xr:uid="{FC80DD80-8F6F-4670-B645-CF3F52694C86}"/>
    <dataValidation type="decimal" allowBlank="1" showInputMessage="1" showErrorMessage="1" error="الرجاء ادخال نسبة ضريبة القيمة المضافة (%) رقم  من 0-100 باللغة الانجليزية 0123456789" sqref="O4:O20 T4:T20 Y4:Y20 O33:O46 T33:T46 Y33:Y46 F59:F118 K59:K118 P59:P118 O130:O133 T130:T133 Y130:Y133 O145:O147 T145:T147 Y145:Y147" xr:uid="{8C52BFEB-E377-4063-A105-041C86C5A359}">
      <formula1>0</formula1>
      <formula2>100</formula2>
    </dataValidation>
    <dataValidation type="decimal" allowBlank="1" showInputMessage="1" showErrorMessage="1" error="الرجاء ادخال نسبة الخصم للوحدة (%) رقم  من 0-100 باللغة الانجليزية 0123456789" sqref="N4:N20 S4:S20 X4:X20 N33:N46 S33:S46 X33:X46 E59:E118 J59:J118 O59:O118 N130:N133 S130:S133 X130:X133 N145:N147 S145:S147 X145:X147" xr:uid="{723CD8C3-7801-47EB-854A-D5196692D9FE}">
      <formula1>0</formula1>
      <formula2>100</formula2>
    </dataValidation>
    <dataValidation type="decimal" allowBlank="1" showInputMessage="1" showErrorMessage="1" error="الرجاء ادخال سعر الوحدة (الريال) رقم صحيح او كسر اكبر من صفر وبحد اقصي أربع ارقام بعد العلامه العشرية باللغة الانجليزية 0123456789" sqref="M4:M20 R4:R20 W4:W20 M33:M46 R33:R46 W33:W46 D59:D118 I59:I118 N59:N118 M130:M133 R130:R133 W130:W133 M145:M147 R145:R147 W145:W147" xr:uid="{212DF4DB-94F7-4D60-BCFA-8F996A65367A}">
      <formula1>0</formula1>
      <formula2>1000000000</formula2>
    </dataValidation>
    <dataValidation type="decimal" allowBlank="1" showInputMessage="1" showErrorMessage="1" error="الرجاء ادخال الكمية رقم صحيح باللغة الانجليزية 0123456789" sqref="L4:L20 Q4:Q20 V4:V20 L33:L46 Q33:Q46 V33:V46 C59:C118 H59:H118 M59:M118 L130:L133 Q130:Q133 V130:V133 L145:L147 Q145:Q147 V145:V147" xr:uid="{496BF615-A405-4473-896E-477AE4CA8879}">
      <formula1>0</formula1>
      <formula2>1000000000</formula2>
    </dataValidation>
    <dataValidation type="list" showInputMessage="1" showErrorMessage="1" errorTitle="حقل مطلوب" error="اختر حالة الصنف ." sqref="K4:K20" xr:uid="{54CBE61E-E839-4B3C-B3DC-DFB94541467D}">
      <formula1>$ZK$2:$ZK$4</formula1>
    </dataValidation>
    <dataValidation type="textLength" operator="lessThan" allowBlank="1" showInputMessage="1" showErrorMessage="1" error="الرجاء ادخال نص وحدة القياس" sqref="E4:E20 E33:E46 E130:E133 E145:E147" xr:uid="{6C2475A4-273D-4EDD-A578-B3A03B675BBE}">
      <formula1>500</formula1>
    </dataValidation>
    <dataValidation type="textLength" operator="lessThan" allowBlank="1" showInputMessage="1" showErrorMessage="1" error="الرجاء إدخال البند من حرفين حتي 150 حرف" sqref="D4:D20 D33:D46 D130:D133 D145:D147" xr:uid="{73828581-34C5-4610-BBFF-3C194CB9AD12}">
      <formula1>500</formula1>
    </dataValidation>
    <dataValidation type="textLength" operator="lessThan" allowBlank="1" showInputMessage="1" showErrorMessage="1" sqref="C4:C20 F4:G20 C33:C46 F33:G46 C130:C133 F130:G133 C145:C147 F145:G147" xr:uid="{98B87A07-433A-46E1-BC22-DDD22887F810}">
      <formula1>500</formula1>
    </dataValidation>
    <dataValidation type="whole" allowBlank="1" showInputMessage="1" showErrorMessage="1" error="الرجاء ادخال الرقم التسلسلي رقم صحيح باللغة الانجليزية 0123456789" sqref="B4:B20" xr:uid="{7C2B3A8D-9E74-47E8-A1F3-B0BDA09A9877}">
      <formula1>1</formula1>
      <formula2>16</formula2>
    </dataValidation>
    <dataValidation type="list" showInputMessage="1" showErrorMessage="1" errorTitle="حقل مطلوب" error="اختر حالة الصنف ." sqref="K33:K46 K145:K147 K130:K133 B59:B118" xr:uid="{FB005786-9EB5-4438-BC24-3CE60F38A822}">
      <formula1>$ZK$1:$ZK$3</formula1>
    </dataValidation>
    <dataValidation type="whole" allowBlank="1" showInputMessage="1" showErrorMessage="1" error="الرجاء ادخال الرقم التسلسلي رقم صحيح باللغة الانجليزية 0123456789" sqref="B33:B46" xr:uid="{967EE976-0D69-46D8-B5C8-98329807D2BE}">
      <formula1>1</formula1>
      <formula2>14</formula2>
    </dataValidation>
    <dataValidation type="list" showInputMessage="1" showErrorMessage="1" errorTitle="حقل مطلوب" error="اختر بلدالمنشأ ." sqref="H4:H20" xr:uid="{36E8A6FA-F0E4-44BD-B5FD-ACB0970E116C}">
      <formula1>$ZH$2:$ZH$248</formula1>
    </dataValidation>
    <dataValidation type="list" showInputMessage="1" showErrorMessage="1" errorTitle="حقل مطلوب" error="اختر بلدالمنشأ ." sqref="H33:H46 H130:H133 H145:H147" xr:uid="{F1281565-6D2C-43EB-9FF7-4F3C27BF62E3}">
      <formula1>$ZH$1:$ZH$247</formula1>
    </dataValidation>
    <dataValidation type="whole" allowBlank="1" showInputMessage="1" showErrorMessage="1" error="الرجاء ادخال الرقم التسلسلي رقم صحيح باللغة الانجليزية 0123456789" sqref="B130:B133" xr:uid="{2B5CF8A7-F0FE-41FF-BCFC-A57661B37EA7}">
      <formula1>1</formula1>
      <formula2>4</formula2>
    </dataValidation>
    <dataValidation type="whole" allowBlank="1" showInputMessage="1" showErrorMessage="1" error="الرجاء ادخال الرقم التسلسلي رقم صحيح باللغة الانجليزية 0123456789" sqref="B145:B147" xr:uid="{50101D9C-027E-47B9-A3BC-389D6ADB39F8}">
      <formula1>1</formula1>
      <formula2>3</formula2>
    </dataValidation>
  </dataValidations>
  <pageMargins left="0.7" right="0.7" top="0.75" bottom="0.75" header="0.3" footer="0.3"/>
  <ignoredErrors>
    <ignoredError sqref="X8:Y8 B9 D9 J9 L9 N9:O9 Q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جداول الكميات والأسعار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nawaf albishri</dc:creator>
  <cp:lastModifiedBy>nawaf albishri</cp:lastModifiedBy>
  <dcterms:created xsi:type="dcterms:W3CDTF">2025-11-28T14:21:07Z</dcterms:created>
  <dcterms:modified xsi:type="dcterms:W3CDTF">2026-01-30T10:16:37Z</dcterms:modified>
</cp:coreProperties>
</file>