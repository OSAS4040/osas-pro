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أمن المنشات/"/>
    </mc:Choice>
  </mc:AlternateContent>
  <xr:revisionPtr revIDLastSave="46" documentId="11_FFD0CC287172B1298484547E1BC069F0E06D22FB" xr6:coauthVersionLast="47" xr6:coauthVersionMax="47" xr10:uidLastSave="{B300F924-E73E-426D-AA36-0E38C8FEA0C2}"/>
  <bookViews>
    <workbookView xWindow="-120" yWindow="-120" windowWidth="29040" windowHeight="15720" xr2:uid="{00000000-000D-0000-FFFF-FFFF00000000}"/>
  </bookViews>
  <sheets>
    <sheet name="ثانيا  زيوت القي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T3" i="1"/>
  <c r="Y3" i="1"/>
  <c r="O4" i="1"/>
  <c r="T4" i="1"/>
  <c r="Y4" i="1"/>
  <c r="O5" i="1"/>
  <c r="T5" i="1"/>
  <c r="Y5" i="1"/>
  <c r="O6" i="1"/>
  <c r="T6" i="1"/>
  <c r="Y6" i="1"/>
  <c r="O7" i="1"/>
  <c r="T7" i="1"/>
  <c r="Y7" i="1"/>
  <c r="O8" i="1"/>
  <c r="T8" i="1"/>
  <c r="Y8" i="1"/>
  <c r="O9" i="1"/>
  <c r="T9" i="1"/>
  <c r="Y9" i="1"/>
  <c r="O10" i="1"/>
  <c r="T10" i="1"/>
  <c r="Y10" i="1"/>
  <c r="O11" i="1"/>
  <c r="T11" i="1"/>
  <c r="Y11" i="1"/>
  <c r="O12" i="1"/>
  <c r="T12" i="1"/>
  <c r="Y12" i="1"/>
  <c r="O13" i="1"/>
  <c r="T13" i="1"/>
  <c r="Y13" i="1"/>
  <c r="O14" i="1"/>
  <c r="T14" i="1"/>
  <c r="Y14" i="1"/>
  <c r="O15" i="1"/>
  <c r="T15" i="1"/>
  <c r="Y15" i="1"/>
  <c r="O16" i="1"/>
  <c r="T16" i="1"/>
  <c r="Y16" i="1"/>
</calcChain>
</file>

<file path=xl/sharedStrings.xml><?xml version="1.0" encoding="utf-8"?>
<sst xmlns="http://schemas.openxmlformats.org/spreadsheetml/2006/main" count="520" uniqueCount="323">
  <si>
    <t>السنة الاولى</t>
  </si>
  <si>
    <t>السنة الثانية</t>
  </si>
  <si>
    <t>السنة الثالثة</t>
  </si>
  <si>
    <t>الرقم التسلسلي</t>
  </si>
  <si>
    <t>الفئة</t>
  </si>
  <si>
    <t>البند</t>
  </si>
  <si>
    <t>وحدة القياس</t>
  </si>
  <si>
    <t>وصف البند</t>
  </si>
  <si>
    <t>المواصفات</t>
  </si>
  <si>
    <t>بلدالمنشأ</t>
  </si>
  <si>
    <t>منتج من القائمة الإلزامية</t>
  </si>
  <si>
    <t>الرمز الإنشائي</t>
  </si>
  <si>
    <t>حالة الصنف</t>
  </si>
  <si>
    <t>الكمية</t>
  </si>
  <si>
    <t>سعر الوحدة (الريال)</t>
  </si>
  <si>
    <t>نسبة الخصم للوحدة (%)</t>
  </si>
  <si>
    <t>نسبة ضريبة القيمة المضافة (%)</t>
  </si>
  <si>
    <t>إجمالى المبلغ رقماً (ريال)</t>
  </si>
  <si>
    <t>AW:آروبا</t>
  </si>
  <si>
    <t>AZ:أذربيجان</t>
  </si>
  <si>
    <t>AM:أرمينيا</t>
  </si>
  <si>
    <t>ES:أسبانيا</t>
  </si>
  <si>
    <t>AU:أستراليا</t>
  </si>
  <si>
    <t>AF:أفغانستان</t>
  </si>
  <si>
    <t>AL:ألبانيا</t>
  </si>
  <si>
    <t>DE:ألمانيا</t>
  </si>
  <si>
    <t>AG:أنتيجوا وبربودا</t>
  </si>
  <si>
    <t>AO:أنجولا</t>
  </si>
  <si>
    <t>AI:أنجويلا</t>
  </si>
  <si>
    <t>AD:أندورا</t>
  </si>
  <si>
    <t>UY:أورجواي</t>
  </si>
  <si>
    <t>UZ:أوزبكستان</t>
  </si>
  <si>
    <t>UG:أوغندا</t>
  </si>
  <si>
    <t>UA:أوكرانيا</t>
  </si>
  <si>
    <t>IE:أيرلندا</t>
  </si>
  <si>
    <t>IS:أيسلندا</t>
  </si>
  <si>
    <t>ET:اثيوبيا</t>
  </si>
  <si>
    <t>ER:اريتريا</t>
  </si>
  <si>
    <t>EE:استونيا</t>
  </si>
  <si>
    <t>PN:فلسطين</t>
  </si>
  <si>
    <t>AR:الأرجنتين</t>
  </si>
  <si>
    <t>JO:الأردن</t>
  </si>
  <si>
    <t>EC:الاكوادور</t>
  </si>
  <si>
    <t>BS:الباهاما</t>
  </si>
  <si>
    <t>BR:البرازيل</t>
  </si>
  <si>
    <t>PT:البرتغال</t>
  </si>
  <si>
    <t>BA:البوسنة والهرسك</t>
  </si>
  <si>
    <t>GA:الجابون</t>
  </si>
  <si>
    <t>ME:الجبل الأسود</t>
  </si>
  <si>
    <t>DZ:الجزائر</t>
  </si>
  <si>
    <t>DK:الدانمرك</t>
  </si>
  <si>
    <t>CV:الرأس الأخضر</t>
  </si>
  <si>
    <t>SV:السلفادور</t>
  </si>
  <si>
    <t>SN:السنغال</t>
  </si>
  <si>
    <t>SD:السودان</t>
  </si>
  <si>
    <t>SE:السويد</t>
  </si>
  <si>
    <t>EH:الصحراء الغربية</t>
  </si>
  <si>
    <t>SO:الصومال</t>
  </si>
  <si>
    <t>CN:الصين</t>
  </si>
  <si>
    <t>IQ:العراق</t>
  </si>
  <si>
    <t>VA:الفاتيكان</t>
  </si>
  <si>
    <t>PH:الفيلبين</t>
  </si>
  <si>
    <t>AQ:القطب الجنوبي</t>
  </si>
  <si>
    <t>CM:الكاميرون</t>
  </si>
  <si>
    <t>CG:الكونغو - برازافيل</t>
  </si>
  <si>
    <t>HU:المجر</t>
  </si>
  <si>
    <t>IO:المحيط الهندي البريطاني</t>
  </si>
  <si>
    <t>MA:المغرب</t>
  </si>
  <si>
    <t>TF:المقاطعات الجنوبية الفرنسية</t>
  </si>
  <si>
    <t>MX:المكسيك</t>
  </si>
  <si>
    <t>SA:المملكة العربية السعودية</t>
  </si>
  <si>
    <t>GB:المملكة المتحدة</t>
  </si>
  <si>
    <t>NO:النرويج</t>
  </si>
  <si>
    <t>AT:النمسا</t>
  </si>
  <si>
    <t>NE:النيجر</t>
  </si>
  <si>
    <t>IN:الهند</t>
  </si>
  <si>
    <t>US:الولايات المتحدة الأمريكية</t>
  </si>
  <si>
    <t>JP:اليابان</t>
  </si>
  <si>
    <t>YE:اليمن</t>
  </si>
  <si>
    <t>GR:اليونان</t>
  </si>
  <si>
    <t>ID:اندونيسيا</t>
  </si>
  <si>
    <t>IR:ايران</t>
  </si>
  <si>
    <t>IT:ايطاليا</t>
  </si>
  <si>
    <t>PG:بابوا غينيا الجديدة</t>
  </si>
  <si>
    <t>PY:باراجواي</t>
  </si>
  <si>
    <t>PK:باكستان</t>
  </si>
  <si>
    <t>PW:بالاو</t>
  </si>
  <si>
    <t>BW:بتسوانا</t>
  </si>
  <si>
    <t>PN:بتكايرن</t>
  </si>
  <si>
    <t>BB:بربادوس</t>
  </si>
  <si>
    <t>BM:برمودا</t>
  </si>
  <si>
    <t>BN:بروناي</t>
  </si>
  <si>
    <t>BE:بلجيكا</t>
  </si>
  <si>
    <t>BG:بلغاريا</t>
  </si>
  <si>
    <t>BZ:بليز</t>
  </si>
  <si>
    <t>BD:بنجلاديش</t>
  </si>
  <si>
    <t>PA:بنما</t>
  </si>
  <si>
    <t>BJ:بنين</t>
  </si>
  <si>
    <t>BT:بوتان</t>
  </si>
  <si>
    <t>PR:بورتوريكو</t>
  </si>
  <si>
    <t>BF:بوركينا فاسو</t>
  </si>
  <si>
    <t>BI:بوروندي</t>
  </si>
  <si>
    <t>PL:بولندا</t>
  </si>
  <si>
    <t>BO:بوليفيا</t>
  </si>
  <si>
    <t>PF:بولينيزيا الفرنسية</t>
  </si>
  <si>
    <t>PE:بيرو</t>
  </si>
  <si>
    <t>TZ:تانزانيا</t>
  </si>
  <si>
    <t>TH:تايلند</t>
  </si>
  <si>
    <t>TW:تايوان</t>
  </si>
  <si>
    <t>TM:تركمانستان</t>
  </si>
  <si>
    <t>TR:تركيا</t>
  </si>
  <si>
    <t>TT:ترينيداد وتوباغو</t>
  </si>
  <si>
    <t>TD:تشاد</t>
  </si>
  <si>
    <t>TG:توجو</t>
  </si>
  <si>
    <t>TV:توفالو</t>
  </si>
  <si>
    <t>TK:توكيلو</t>
  </si>
  <si>
    <t>TO:تونجا</t>
  </si>
  <si>
    <t>TN:تونس</t>
  </si>
  <si>
    <t>TL:تيمور الشرقية</t>
  </si>
  <si>
    <t>JM:جامايكا</t>
  </si>
  <si>
    <t>GI:جبل طارق</t>
  </si>
  <si>
    <t>GD:جرينادا</t>
  </si>
  <si>
    <t>GL:جرينلاند</t>
  </si>
  <si>
    <t>AX:جزر أولان</t>
  </si>
  <si>
    <t>AN:جزر الأنتيل الهولندية</t>
  </si>
  <si>
    <t>TC:جزر الترك وجايكوس</t>
  </si>
  <si>
    <t>KM:جزر القمر</t>
  </si>
  <si>
    <t>KY:جزر الكايمن</t>
  </si>
  <si>
    <t>MH:جزر المارشال</t>
  </si>
  <si>
    <t>MV:جزر الملديف</t>
  </si>
  <si>
    <t>UM:جزر الولايات المتحدة البعيدة الصغيرة</t>
  </si>
  <si>
    <t>SB:جزر سليمان</t>
  </si>
  <si>
    <t>FO:جزر فارو</t>
  </si>
  <si>
    <t>VI:جزر فرجين الأمريكية</t>
  </si>
  <si>
    <t>VG:جزر فرجين البريطانية</t>
  </si>
  <si>
    <t>FK:جزر فوكلاند</t>
  </si>
  <si>
    <t>CK:جزر كوك</t>
  </si>
  <si>
    <t>CC:جزر كوكوس</t>
  </si>
  <si>
    <t>MP:جزر ماريانا الشمالية</t>
  </si>
  <si>
    <t>WF:جزر والس وفوتونا</t>
  </si>
  <si>
    <t>CX:جزيرة الكريسماس</t>
  </si>
  <si>
    <t>BV:جزيرة بوفيه</t>
  </si>
  <si>
    <t>IM:جزيرة مان</t>
  </si>
  <si>
    <t>NF:جزيرة نورفوك</t>
  </si>
  <si>
    <t>HM:جزيرة هيرد وماكدونالد</t>
  </si>
  <si>
    <t>CF:جمهورية افريقيا الوسطى</t>
  </si>
  <si>
    <t>CZ:جمهورية التشيك</t>
  </si>
  <si>
    <t>DO:جمهورية الدومينيك</t>
  </si>
  <si>
    <t>CD:جمهورية الكونغو الديمقراطية</t>
  </si>
  <si>
    <t>ZA:جمهورية جنوب افريقيا</t>
  </si>
  <si>
    <t>GT:جواتيمالا</t>
  </si>
  <si>
    <t>GP:جوادلوب</t>
  </si>
  <si>
    <t>GU:جوام</t>
  </si>
  <si>
    <t>GE:جورجيا</t>
  </si>
  <si>
    <t>GS:جورجيا الجنوبية وجزر ساندويتش الجنوبية</t>
  </si>
  <si>
    <t>DJ:جيبوتي</t>
  </si>
  <si>
    <t>JE:جيرسي</t>
  </si>
  <si>
    <t>DM:دومينيكا</t>
  </si>
  <si>
    <t>RW:رواندا</t>
  </si>
  <si>
    <t>RU:روسيا</t>
  </si>
  <si>
    <t>BY:روسيا البيضاء</t>
  </si>
  <si>
    <t>RO:رومانيا</t>
  </si>
  <si>
    <t>RE:روينيون</t>
  </si>
  <si>
    <t>ZM:زامبيا</t>
  </si>
  <si>
    <t>ZW:زيمبابوي</t>
  </si>
  <si>
    <t>CI:ساحل العاج</t>
  </si>
  <si>
    <t>WS:ساموا</t>
  </si>
  <si>
    <t>AS:ساموا الأمريكية</t>
  </si>
  <si>
    <t>SM:سان مارينو</t>
  </si>
  <si>
    <t>PM:سانت بيير وميكولون</t>
  </si>
  <si>
    <t>VC:سانت فنسنت وغرنادين</t>
  </si>
  <si>
    <t>KN:سانت كيتس ونيفيس</t>
  </si>
  <si>
    <t>LC:سانت لوسيا</t>
  </si>
  <si>
    <t>MF:سانت مارتين</t>
  </si>
  <si>
    <t>SH:سانت هيلنا</t>
  </si>
  <si>
    <t>ST:ساو تومي وبرينسيبي</t>
  </si>
  <si>
    <t>LK:سريلانكا</t>
  </si>
  <si>
    <t>SJ:سفالبارد وجان مايان</t>
  </si>
  <si>
    <t>SK:سلوفاكيا</t>
  </si>
  <si>
    <t>SI:سلوفينيا</t>
  </si>
  <si>
    <t>SG:سنغافورة</t>
  </si>
  <si>
    <t>SZ:سوازيلاند</t>
  </si>
  <si>
    <t>SY:سوريا</t>
  </si>
  <si>
    <t>SR:سورينام</t>
  </si>
  <si>
    <t>CH:سويسرا</t>
  </si>
  <si>
    <t>SL:سيراليون</t>
  </si>
  <si>
    <t>SC:سيشل</t>
  </si>
  <si>
    <t>CL:شيلي</t>
  </si>
  <si>
    <t>RS:صربيا</t>
  </si>
  <si>
    <t>CS:صربيا والجبل الأسود</t>
  </si>
  <si>
    <t>TJ:طاجكستان</t>
  </si>
  <si>
    <t>GM:غامبيا</t>
  </si>
  <si>
    <t>GH:غانا</t>
  </si>
  <si>
    <t>GF:غويانا</t>
  </si>
  <si>
    <t>GY:غيانا</t>
  </si>
  <si>
    <t>GN:غينيا</t>
  </si>
  <si>
    <t>GQ:غينيا الاستوائية</t>
  </si>
  <si>
    <t>GW:غينيا بيساو</t>
  </si>
  <si>
    <t>VU:فانواتو</t>
  </si>
  <si>
    <t>FR:فرنسا</t>
  </si>
  <si>
    <t>PS:فلسطين</t>
  </si>
  <si>
    <t>VE:فنزويلا</t>
  </si>
  <si>
    <t>FI:فنلندا</t>
  </si>
  <si>
    <t>VN:فيتنام</t>
  </si>
  <si>
    <t>FJ:فيجي</t>
  </si>
  <si>
    <t>CY:قبرص</t>
  </si>
  <si>
    <t>KG:قرغيزستان</t>
  </si>
  <si>
    <t>KZ:كازاخستان</t>
  </si>
  <si>
    <t>NC:كاليدونيا الجديدة</t>
  </si>
  <si>
    <t>HR:كرواتيا</t>
  </si>
  <si>
    <t>KH:كمبوديا</t>
  </si>
  <si>
    <t>CA:كندا</t>
  </si>
  <si>
    <t>CU:كوبا</t>
  </si>
  <si>
    <t>KR:كوريا الجنوبية</t>
  </si>
  <si>
    <t>KP:كوريا الشمالية</t>
  </si>
  <si>
    <t>CR:كوستاريكا</t>
  </si>
  <si>
    <t>CO:كولومبيا</t>
  </si>
  <si>
    <t>KI:كيريباتي</t>
  </si>
  <si>
    <t>KE:كينيا</t>
  </si>
  <si>
    <t>LV:لاتفيا</t>
  </si>
  <si>
    <t>LA:لاوس</t>
  </si>
  <si>
    <t>LB:لبنان</t>
  </si>
  <si>
    <t>LU:لوكسمبورج</t>
  </si>
  <si>
    <t>LY:ليبيا</t>
  </si>
  <si>
    <t>LR:ليبيريا</t>
  </si>
  <si>
    <t>LT:ليتوانيا</t>
  </si>
  <si>
    <t>LI:ليختنشتاين</t>
  </si>
  <si>
    <t>LS:ليسوتو</t>
  </si>
  <si>
    <t>MQ:مارتينيك</t>
  </si>
  <si>
    <t>MO:ماكاو الصينية</t>
  </si>
  <si>
    <t>MT:مالطا</t>
  </si>
  <si>
    <t>ML:مالي</t>
  </si>
  <si>
    <t>MY:ماليزيا</t>
  </si>
  <si>
    <t>YT:مايوت</t>
  </si>
  <si>
    <t>MG:مدغشقر</t>
  </si>
  <si>
    <t>EG:مصر</t>
  </si>
  <si>
    <t>MK:مقدونيا</t>
  </si>
  <si>
    <t>MW:ملاوي</t>
  </si>
  <si>
    <t>ZZ:منطقة غير معرفة</t>
  </si>
  <si>
    <t>MN:منغوليا</t>
  </si>
  <si>
    <t>MR:موريتانيا</t>
  </si>
  <si>
    <t>MU:موريشيوس</t>
  </si>
  <si>
    <t>MZ:موزمبيق</t>
  </si>
  <si>
    <t>MD:مولدافيا</t>
  </si>
  <si>
    <t>MC:موناكو</t>
  </si>
  <si>
    <t>MS:مونتسرات</t>
  </si>
  <si>
    <t>MM:ميانمار</t>
  </si>
  <si>
    <t>FM:ميكرونيزيا</t>
  </si>
  <si>
    <t>NA:ناميبيا</t>
  </si>
  <si>
    <t>NR:نورو</t>
  </si>
  <si>
    <t>NP:نيبال</t>
  </si>
  <si>
    <t>NG:نيجيريا</t>
  </si>
  <si>
    <t>NI:نيكاراجوا</t>
  </si>
  <si>
    <t>NZ:نيوزيلاندا</t>
  </si>
  <si>
    <t>NU:نيوي</t>
  </si>
  <si>
    <t>HT:هايتي</t>
  </si>
  <si>
    <t>HN:هندوراس</t>
  </si>
  <si>
    <t>NL:هولندا</t>
  </si>
  <si>
    <t>HK:هونج كونج الصينية</t>
  </si>
  <si>
    <t>AE:الامارات العربية المتحدة</t>
  </si>
  <si>
    <t>BH:البحرين</t>
  </si>
  <si>
    <t>KW:الكويت</t>
  </si>
  <si>
    <t>OM:عمان</t>
  </si>
  <si>
    <t>QA:قطر</t>
  </si>
  <si>
    <t>غير متوفر</t>
  </si>
  <si>
    <t>متوفر</t>
  </si>
  <si>
    <t>مجاني</t>
  </si>
  <si>
    <t>0</t>
  </si>
  <si>
    <t>11</t>
  </si>
  <si>
    <t>20</t>
  </si>
  <si>
    <t>30</t>
  </si>
  <si>
    <t>28</t>
  </si>
  <si>
    <t>85</t>
  </si>
  <si>
    <t>33</t>
  </si>
  <si>
    <t>194</t>
  </si>
  <si>
    <t>137</t>
  </si>
  <si>
    <t>22</t>
  </si>
  <si>
    <t>4</t>
  </si>
  <si>
    <t>900</t>
  </si>
  <si>
    <t>7</t>
  </si>
  <si>
    <t>83</t>
  </si>
  <si>
    <t>120</t>
  </si>
  <si>
    <t>2</t>
  </si>
  <si>
    <t>600</t>
  </si>
  <si>
    <t>80</t>
  </si>
  <si>
    <t>666</t>
  </si>
  <si>
    <t>15</t>
  </si>
  <si>
    <t>6018</t>
  </si>
  <si>
    <t>نعم</t>
  </si>
  <si>
    <t>14</t>
  </si>
  <si>
    <t>13</t>
  </si>
  <si>
    <t>12</t>
  </si>
  <si>
    <t>10</t>
  </si>
  <si>
    <t>9</t>
  </si>
  <si>
    <t>8</t>
  </si>
  <si>
    <t>6</t>
  </si>
  <si>
    <t>5</t>
  </si>
  <si>
    <t>3</t>
  </si>
  <si>
    <t>1</t>
  </si>
  <si>
    <t>BV 75 80</t>
  </si>
  <si>
    <t>8SPED</t>
  </si>
  <si>
    <t>ATF DEXRON-VI</t>
  </si>
  <si>
    <t>ATE III</t>
  </si>
  <si>
    <t>ATF SB-IV</t>
  </si>
  <si>
    <t>زيت تروس 90</t>
  </si>
  <si>
    <t>CVT   AT</t>
  </si>
  <si>
    <t>GL-4 75W-85</t>
  </si>
  <si>
    <t>MERCON LV</t>
  </si>
  <si>
    <t>FE</t>
  </si>
  <si>
    <t>GL-4 75W-90</t>
  </si>
  <si>
    <t>Type T-N</t>
  </si>
  <si>
    <t>WS</t>
  </si>
  <si>
    <t>الإلتزام بكتالوج المركبة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</si>
  <si>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</si>
  <si>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</si>
  <si>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</si>
  <si>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</si>
  <si>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</si>
  <si>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</si>
  <si>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</si>
  <si>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</si>
  <si>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</si>
  <si>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لتر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</si>
</sst>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8657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J246"/>
  <sheetViews>
    <sheetView rightToLeft="1" tabSelected="1" topLeftCell="N1" workbookViewId="0">
      <selection activeCell="X20" sqref="X20"/>
    </sheetView>
  </sheetViews>
  <sheetFormatPr defaultRowHeight="15" x14ac:dyDescent="0.25"/>
  <cols>
    <col min="1" max="1" width="17.5703125" style="1" customWidth="1"/>
    <col min="2" max="2" width="6.42578125" style="1" customWidth="1"/>
    <col min="3" max="3" width="6.28515625" style="1" customWidth="1"/>
    <col min="4" max="4" width="12" style="1" customWidth="1"/>
    <col min="5" max="5" width="14.7109375" style="1" customWidth="1"/>
    <col min="6" max="6" width="25.7109375" style="1" customWidth="1"/>
    <col min="7" max="7" width="28.7109375" style="1" customWidth="1"/>
    <col min="8" max="8" width="24.140625" style="1" customWidth="1"/>
    <col min="9" max="9" width="14.42578125" style="1" customWidth="1"/>
    <col min="10" max="10" width="11.85546875" style="1" customWidth="1"/>
    <col min="11" max="11" width="7.28515625" style="1" customWidth="1"/>
    <col min="12" max="12" width="18.5703125" style="1" customWidth="1"/>
    <col min="13" max="13" width="23.28515625" style="1" customWidth="1"/>
    <col min="14" max="14" width="32.5703125" style="1" customWidth="1"/>
    <col min="15" max="15" width="24" style="1" customWidth="1"/>
    <col min="16" max="16" width="7.28515625" style="1" customWidth="1"/>
    <col min="17" max="17" width="18.5703125" style="1" customWidth="1"/>
    <col min="18" max="18" width="23.28515625" style="1" customWidth="1"/>
    <col min="19" max="19" width="32.5703125" style="1" customWidth="1"/>
    <col min="20" max="20" width="24" style="1" customWidth="1"/>
    <col min="21" max="21" width="7.28515625" style="1" customWidth="1"/>
    <col min="22" max="22" width="18.5703125" style="1" customWidth="1"/>
    <col min="23" max="23" width="23.28515625" style="1" customWidth="1"/>
    <col min="24" max="24" width="32.5703125" style="1" customWidth="1"/>
    <col min="25" max="25" width="24" style="1" customWidth="1"/>
    <col min="26" max="682" width="9.140625" style="1" customWidth="1"/>
    <col min="683" max="683" width="45.42578125" style="1" customWidth="1"/>
    <col min="684" max="685" width="9.140625" style="1" customWidth="1"/>
    <col min="686" max="686" width="11.28515625" style="1" customWidth="1"/>
    <col min="687" max="687" width="9.140625" style="1" customWidth="1"/>
    <col min="688" max="16384" width="9.140625" style="1"/>
  </cols>
  <sheetData>
    <row r="1" spans="1:686" x14ac:dyDescent="0.25">
      <c r="A1" s="2"/>
      <c r="B1" s="2"/>
      <c r="C1" s="2"/>
      <c r="D1" s="2"/>
      <c r="E1" s="2"/>
      <c r="F1" s="2"/>
      <c r="G1" s="3"/>
      <c r="H1" s="2"/>
      <c r="I1" s="2"/>
      <c r="J1" s="3"/>
      <c r="K1" s="10" t="s">
        <v>0</v>
      </c>
      <c r="L1" s="11"/>
      <c r="M1" s="11"/>
      <c r="N1" s="11"/>
      <c r="O1" s="12"/>
      <c r="P1" s="10" t="s">
        <v>1</v>
      </c>
      <c r="Q1" s="11"/>
      <c r="R1" s="11"/>
      <c r="S1" s="11"/>
      <c r="T1" s="12"/>
      <c r="U1" s="10" t="s">
        <v>2</v>
      </c>
      <c r="V1" s="11"/>
      <c r="W1" s="11"/>
      <c r="X1" s="11"/>
      <c r="Y1" s="12"/>
      <c r="ZG1" s="4" t="s">
        <v>18</v>
      </c>
      <c r="ZJ1" s="4" t="s">
        <v>264</v>
      </c>
    </row>
    <row r="2" spans="1:686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6" t="s">
        <v>9</v>
      </c>
      <c r="H2" s="5" t="s">
        <v>10</v>
      </c>
      <c r="I2" s="5" t="s">
        <v>11</v>
      </c>
      <c r="J2" s="6" t="s">
        <v>12</v>
      </c>
      <c r="K2" s="7" t="s">
        <v>13</v>
      </c>
      <c r="L2" s="8" t="s">
        <v>14</v>
      </c>
      <c r="M2" s="8" t="s">
        <v>15</v>
      </c>
      <c r="N2" s="8" t="s">
        <v>16</v>
      </c>
      <c r="O2" s="7" t="s">
        <v>17</v>
      </c>
      <c r="P2" s="7" t="s">
        <v>13</v>
      </c>
      <c r="Q2" s="8" t="s">
        <v>14</v>
      </c>
      <c r="R2" s="8" t="s">
        <v>15</v>
      </c>
      <c r="S2" s="8" t="s">
        <v>16</v>
      </c>
      <c r="T2" s="7" t="s">
        <v>17</v>
      </c>
      <c r="U2" s="7" t="s">
        <v>13</v>
      </c>
      <c r="V2" s="8" t="s">
        <v>14</v>
      </c>
      <c r="W2" s="8" t="s">
        <v>15</v>
      </c>
      <c r="X2" s="8" t="s">
        <v>16</v>
      </c>
      <c r="Y2" s="7" t="s">
        <v>17</v>
      </c>
      <c r="ZG2" s="4" t="s">
        <v>19</v>
      </c>
      <c r="ZJ2" s="4" t="s">
        <v>265</v>
      </c>
    </row>
    <row r="3" spans="1:686" x14ac:dyDescent="0.25">
      <c r="A3" s="1" t="s">
        <v>298</v>
      </c>
      <c r="C3" s="1" t="s">
        <v>321</v>
      </c>
      <c r="D3" s="1" t="s">
        <v>322</v>
      </c>
      <c r="E3" s="1" t="s">
        <v>311</v>
      </c>
      <c r="F3" s="1" t="s">
        <v>312</v>
      </c>
      <c r="G3" s="9" t="s">
        <v>70</v>
      </c>
      <c r="H3" s="1" t="s">
        <v>288</v>
      </c>
      <c r="I3" s="1" t="s">
        <v>287</v>
      </c>
      <c r="J3" s="9" t="s">
        <v>265</v>
      </c>
      <c r="K3" s="1" t="s">
        <v>285</v>
      </c>
      <c r="L3" s="9" t="s">
        <v>271</v>
      </c>
      <c r="M3" s="9" t="s">
        <v>267</v>
      </c>
      <c r="N3" s="9" t="s">
        <v>286</v>
      </c>
      <c r="O3" s="1">
        <f t="shared" ref="O3:O16" si="0">(((L3*K3)-((L3*K3)*(M3/100)))+(((L3*K3)-((L3*K3)*(M3/100)))*N3/100))</f>
        <v>21445.200000000001</v>
      </c>
      <c r="P3" s="1" t="s">
        <v>285</v>
      </c>
      <c r="Q3" s="9" t="s">
        <v>271</v>
      </c>
      <c r="R3" s="9">
        <v>0</v>
      </c>
      <c r="S3" s="9" t="s">
        <v>286</v>
      </c>
      <c r="T3" s="1">
        <f t="shared" ref="T3:T16" si="1">(((Q3*P3)-((Q3*P3)*(R3/100)))+(((Q3*P3)-((Q3*P3)*(R3/100)))*S3/100))</f>
        <v>21445.200000000001</v>
      </c>
      <c r="U3" s="1" t="s">
        <v>285</v>
      </c>
      <c r="V3" s="9">
        <v>28</v>
      </c>
      <c r="W3" s="9" t="s">
        <v>267</v>
      </c>
      <c r="X3" s="9" t="s">
        <v>286</v>
      </c>
      <c r="Y3" s="1">
        <f t="shared" ref="Y3:Y16" si="2">(((V3*U3)-((V3*U3)*(W3/100)))+(((V3*U3)-((V3*U3)*(W3/100)))*X3/100))</f>
        <v>21445.200000000001</v>
      </c>
      <c r="ZG3" s="4" t="s">
        <v>20</v>
      </c>
      <c r="ZJ3" s="4" t="s">
        <v>266</v>
      </c>
    </row>
    <row r="4" spans="1:686" x14ac:dyDescent="0.25">
      <c r="A4" s="1" t="s">
        <v>282</v>
      </c>
      <c r="C4" s="1" t="s">
        <v>320</v>
      </c>
      <c r="D4" s="1" t="s">
        <v>322</v>
      </c>
      <c r="E4" s="1" t="s">
        <v>310</v>
      </c>
      <c r="F4" s="1" t="s">
        <v>312</v>
      </c>
      <c r="G4" s="9" t="s">
        <v>70</v>
      </c>
      <c r="H4" s="1" t="s">
        <v>288</v>
      </c>
      <c r="I4" s="1" t="s">
        <v>287</v>
      </c>
      <c r="J4" s="9" t="s">
        <v>265</v>
      </c>
      <c r="K4" s="1" t="s">
        <v>284</v>
      </c>
      <c r="L4" s="9" t="s">
        <v>269</v>
      </c>
      <c r="M4" s="9" t="s">
        <v>267</v>
      </c>
      <c r="N4" s="9" t="s">
        <v>286</v>
      </c>
      <c r="O4" s="1">
        <f t="shared" si="0"/>
        <v>1840</v>
      </c>
      <c r="P4" s="1" t="s">
        <v>284</v>
      </c>
      <c r="Q4" s="9" t="s">
        <v>269</v>
      </c>
      <c r="R4" s="9">
        <v>0</v>
      </c>
      <c r="S4" s="9" t="s">
        <v>286</v>
      </c>
      <c r="T4" s="1">
        <f t="shared" si="1"/>
        <v>1840</v>
      </c>
      <c r="U4" s="1" t="s">
        <v>284</v>
      </c>
      <c r="V4" s="9" t="s">
        <v>269</v>
      </c>
      <c r="W4" s="9" t="s">
        <v>267</v>
      </c>
      <c r="X4" s="9" t="s">
        <v>286</v>
      </c>
      <c r="Y4" s="1">
        <f t="shared" si="2"/>
        <v>1840</v>
      </c>
      <c r="ZG4" s="4" t="s">
        <v>21</v>
      </c>
    </row>
    <row r="5" spans="1:686" x14ac:dyDescent="0.25">
      <c r="A5" s="1" t="s">
        <v>297</v>
      </c>
      <c r="C5" s="1" t="s">
        <v>319</v>
      </c>
      <c r="D5" s="1" t="s">
        <v>322</v>
      </c>
      <c r="E5" s="1" t="s">
        <v>309</v>
      </c>
      <c r="F5" s="1" t="s">
        <v>312</v>
      </c>
      <c r="G5" s="9" t="s">
        <v>70</v>
      </c>
      <c r="H5" s="1" t="s">
        <v>288</v>
      </c>
      <c r="I5" s="1" t="s">
        <v>287</v>
      </c>
      <c r="J5" s="9" t="s">
        <v>265</v>
      </c>
      <c r="K5" s="1" t="s">
        <v>283</v>
      </c>
      <c r="L5" s="9" t="s">
        <v>292</v>
      </c>
      <c r="M5" s="9" t="s">
        <v>267</v>
      </c>
      <c r="N5" s="9" t="s">
        <v>286</v>
      </c>
      <c r="O5" s="1">
        <f t="shared" si="0"/>
        <v>6900</v>
      </c>
      <c r="P5" s="1" t="s">
        <v>283</v>
      </c>
      <c r="Q5" s="9" t="s">
        <v>292</v>
      </c>
      <c r="R5" s="9" t="s">
        <v>267</v>
      </c>
      <c r="S5" s="9" t="s">
        <v>286</v>
      </c>
      <c r="T5" s="1">
        <f t="shared" si="1"/>
        <v>6900</v>
      </c>
      <c r="U5" s="1" t="s">
        <v>283</v>
      </c>
      <c r="V5" s="9" t="s">
        <v>292</v>
      </c>
      <c r="W5" s="9" t="s">
        <v>267</v>
      </c>
      <c r="X5" s="9" t="s">
        <v>286</v>
      </c>
      <c r="Y5" s="1">
        <f t="shared" si="2"/>
        <v>6900</v>
      </c>
      <c r="ZG5" s="4" t="s">
        <v>22</v>
      </c>
    </row>
    <row r="6" spans="1:686" x14ac:dyDescent="0.25">
      <c r="A6" s="1" t="s">
        <v>277</v>
      </c>
      <c r="C6" s="1" t="s">
        <v>318</v>
      </c>
      <c r="D6" s="1" t="s">
        <v>322</v>
      </c>
      <c r="E6" s="1" t="s">
        <v>308</v>
      </c>
      <c r="F6" s="1" t="s">
        <v>312</v>
      </c>
      <c r="G6" s="9" t="s">
        <v>70</v>
      </c>
      <c r="H6" s="1" t="s">
        <v>288</v>
      </c>
      <c r="I6" s="1" t="s">
        <v>287</v>
      </c>
      <c r="J6" s="9" t="s">
        <v>265</v>
      </c>
      <c r="K6" s="1" t="s">
        <v>282</v>
      </c>
      <c r="L6" s="9" t="s">
        <v>270</v>
      </c>
      <c r="M6" s="9" t="s">
        <v>267</v>
      </c>
      <c r="N6" s="9" t="s">
        <v>286</v>
      </c>
      <c r="O6" s="1">
        <f t="shared" si="0"/>
        <v>69</v>
      </c>
      <c r="P6" s="1" t="s">
        <v>282</v>
      </c>
      <c r="Q6" s="9" t="s">
        <v>270</v>
      </c>
      <c r="R6" s="9" t="s">
        <v>267</v>
      </c>
      <c r="S6" s="9" t="s">
        <v>286</v>
      </c>
      <c r="T6" s="1">
        <f t="shared" si="1"/>
        <v>69</v>
      </c>
      <c r="U6" s="1" t="s">
        <v>282</v>
      </c>
      <c r="V6" s="9" t="s">
        <v>270</v>
      </c>
      <c r="W6" s="9" t="s">
        <v>267</v>
      </c>
      <c r="X6" s="9" t="s">
        <v>286</v>
      </c>
      <c r="Y6" s="1">
        <f t="shared" si="2"/>
        <v>69</v>
      </c>
      <c r="ZG6" s="4" t="s">
        <v>23</v>
      </c>
    </row>
    <row r="7" spans="1:686" x14ac:dyDescent="0.25">
      <c r="A7" s="1" t="s">
        <v>296</v>
      </c>
      <c r="C7" s="1" t="s">
        <v>317</v>
      </c>
      <c r="D7" s="1" t="s">
        <v>322</v>
      </c>
      <c r="E7" s="1" t="s">
        <v>307</v>
      </c>
      <c r="F7" s="1" t="s">
        <v>312</v>
      </c>
      <c r="G7" s="9" t="s">
        <v>70</v>
      </c>
      <c r="H7" s="1" t="s">
        <v>288</v>
      </c>
      <c r="I7" s="1" t="s">
        <v>287</v>
      </c>
      <c r="J7" s="9" t="s">
        <v>265</v>
      </c>
      <c r="K7" s="1" t="s">
        <v>281</v>
      </c>
      <c r="L7" s="9" t="s">
        <v>269</v>
      </c>
      <c r="M7" s="9" t="s">
        <v>267</v>
      </c>
      <c r="N7" s="9" t="s">
        <v>286</v>
      </c>
      <c r="O7" s="1">
        <f t="shared" si="0"/>
        <v>2760</v>
      </c>
      <c r="P7" s="1" t="s">
        <v>281</v>
      </c>
      <c r="Q7" s="9" t="s">
        <v>269</v>
      </c>
      <c r="R7" s="9" t="s">
        <v>267</v>
      </c>
      <c r="S7" s="9" t="s">
        <v>286</v>
      </c>
      <c r="T7" s="1">
        <f t="shared" si="1"/>
        <v>2760</v>
      </c>
      <c r="U7" s="1" t="s">
        <v>281</v>
      </c>
      <c r="V7" s="9" t="s">
        <v>269</v>
      </c>
      <c r="W7" s="9" t="s">
        <v>267</v>
      </c>
      <c r="X7" s="9" t="s">
        <v>286</v>
      </c>
      <c r="Y7" s="1">
        <f t="shared" si="2"/>
        <v>2760</v>
      </c>
      <c r="ZG7" s="4" t="s">
        <v>24</v>
      </c>
    </row>
    <row r="8" spans="1:686" x14ac:dyDescent="0.25">
      <c r="A8" s="1" t="s">
        <v>295</v>
      </c>
      <c r="C8" s="1" t="s">
        <v>316</v>
      </c>
      <c r="D8" s="1" t="s">
        <v>322</v>
      </c>
      <c r="E8" s="1" t="s">
        <v>306</v>
      </c>
      <c r="F8" s="1" t="s">
        <v>312</v>
      </c>
      <c r="G8" s="9" t="s">
        <v>70</v>
      </c>
      <c r="H8" s="1" t="s">
        <v>288</v>
      </c>
      <c r="I8" s="1" t="s">
        <v>287</v>
      </c>
      <c r="J8" s="9" t="s">
        <v>265</v>
      </c>
      <c r="K8" s="1" t="s">
        <v>280</v>
      </c>
      <c r="L8" s="9" t="s">
        <v>268</v>
      </c>
      <c r="M8" s="9" t="s">
        <v>267</v>
      </c>
      <c r="N8" s="9" t="s">
        <v>286</v>
      </c>
      <c r="O8" s="1">
        <f t="shared" si="0"/>
        <v>1049.95</v>
      </c>
      <c r="P8" s="1" t="s">
        <v>280</v>
      </c>
      <c r="Q8" s="9" t="s">
        <v>268</v>
      </c>
      <c r="R8" s="9" t="s">
        <v>267</v>
      </c>
      <c r="S8" s="9" t="s">
        <v>286</v>
      </c>
      <c r="T8" s="1">
        <f t="shared" si="1"/>
        <v>1049.95</v>
      </c>
      <c r="U8" s="1" t="s">
        <v>280</v>
      </c>
      <c r="V8" s="9" t="s">
        <v>268</v>
      </c>
      <c r="W8" s="9" t="s">
        <v>267</v>
      </c>
      <c r="X8" s="9" t="s">
        <v>286</v>
      </c>
      <c r="Y8" s="1">
        <f t="shared" si="2"/>
        <v>1049.95</v>
      </c>
      <c r="ZG8" s="4" t="s">
        <v>25</v>
      </c>
    </row>
    <row r="9" spans="1:686" x14ac:dyDescent="0.25">
      <c r="A9" s="1" t="s">
        <v>279</v>
      </c>
      <c r="C9" s="1" t="s">
        <v>315</v>
      </c>
      <c r="D9" s="1" t="s">
        <v>322</v>
      </c>
      <c r="E9" s="1" t="s">
        <v>305</v>
      </c>
      <c r="F9" s="1" t="s">
        <v>312</v>
      </c>
      <c r="G9" s="9" t="s">
        <v>70</v>
      </c>
      <c r="H9" s="1" t="s">
        <v>288</v>
      </c>
      <c r="I9" s="1" t="s">
        <v>287</v>
      </c>
      <c r="J9" s="9" t="s">
        <v>265</v>
      </c>
      <c r="K9" s="1" t="s">
        <v>279</v>
      </c>
      <c r="L9" s="9">
        <v>10</v>
      </c>
      <c r="M9" s="9" t="s">
        <v>267</v>
      </c>
      <c r="N9" s="9">
        <v>15</v>
      </c>
      <c r="O9" s="1">
        <f t="shared" si="0"/>
        <v>80.5</v>
      </c>
      <c r="P9" s="1" t="s">
        <v>279</v>
      </c>
      <c r="Q9" s="9">
        <v>10</v>
      </c>
      <c r="R9" s="9" t="s">
        <v>267</v>
      </c>
      <c r="S9" s="9">
        <v>15</v>
      </c>
      <c r="T9" s="1">
        <f t="shared" si="1"/>
        <v>80.5</v>
      </c>
      <c r="U9" s="1" t="s">
        <v>279</v>
      </c>
      <c r="V9" s="9">
        <v>10</v>
      </c>
      <c r="W9" s="9" t="s">
        <v>267</v>
      </c>
      <c r="X9" s="9">
        <v>15</v>
      </c>
      <c r="Y9" s="1">
        <f t="shared" si="2"/>
        <v>80.5</v>
      </c>
      <c r="ZG9" s="4" t="s">
        <v>26</v>
      </c>
    </row>
    <row r="10" spans="1:686" x14ac:dyDescent="0.25">
      <c r="A10" s="1" t="s">
        <v>294</v>
      </c>
      <c r="C10" s="1" t="s">
        <v>314</v>
      </c>
      <c r="D10" s="1" t="s">
        <v>322</v>
      </c>
      <c r="E10" s="1" t="s">
        <v>304</v>
      </c>
      <c r="F10" s="1" t="s">
        <v>312</v>
      </c>
      <c r="G10" s="9" t="s">
        <v>70</v>
      </c>
      <c r="H10" s="1" t="s">
        <v>288</v>
      </c>
      <c r="I10" s="1" t="s">
        <v>287</v>
      </c>
      <c r="J10" s="9" t="s">
        <v>265</v>
      </c>
      <c r="K10" s="1" t="s">
        <v>278</v>
      </c>
      <c r="L10" s="9">
        <v>11.5</v>
      </c>
      <c r="M10" s="9" t="s">
        <v>267</v>
      </c>
      <c r="N10" s="9">
        <v>15</v>
      </c>
      <c r="O10" s="1">
        <f t="shared" si="0"/>
        <v>11902.5</v>
      </c>
      <c r="P10" s="1" t="s">
        <v>278</v>
      </c>
      <c r="Q10" s="9">
        <v>11.5</v>
      </c>
      <c r="R10" s="9" t="s">
        <v>267</v>
      </c>
      <c r="S10" s="9">
        <v>15</v>
      </c>
      <c r="T10" s="1">
        <f t="shared" si="1"/>
        <v>11902.5</v>
      </c>
      <c r="U10" s="1" t="s">
        <v>278</v>
      </c>
      <c r="V10" s="9">
        <v>11.5</v>
      </c>
      <c r="W10" s="9" t="s">
        <v>267</v>
      </c>
      <c r="X10" s="9">
        <v>15</v>
      </c>
      <c r="Y10" s="1">
        <f t="shared" si="2"/>
        <v>11902.5</v>
      </c>
      <c r="ZG10" s="4" t="s">
        <v>27</v>
      </c>
    </row>
    <row r="11" spans="1:686" x14ac:dyDescent="0.25">
      <c r="A11" s="1" t="s">
        <v>293</v>
      </c>
      <c r="C11" s="1" t="s">
        <v>313</v>
      </c>
      <c r="D11" s="1" t="s">
        <v>322</v>
      </c>
      <c r="E11" s="1" t="s">
        <v>303</v>
      </c>
      <c r="F11" s="1" t="s">
        <v>312</v>
      </c>
      <c r="G11" s="9" t="s">
        <v>70</v>
      </c>
      <c r="H11" s="1" t="s">
        <v>288</v>
      </c>
      <c r="I11" s="1" t="s">
        <v>287</v>
      </c>
      <c r="J11" s="9" t="s">
        <v>265</v>
      </c>
      <c r="K11" s="1" t="s">
        <v>277</v>
      </c>
      <c r="L11" s="9">
        <v>35</v>
      </c>
      <c r="M11" s="9" t="s">
        <v>267</v>
      </c>
      <c r="N11" s="9">
        <v>15</v>
      </c>
      <c r="O11" s="1">
        <f t="shared" si="0"/>
        <v>161</v>
      </c>
      <c r="P11" s="1" t="s">
        <v>277</v>
      </c>
      <c r="Q11" s="9">
        <v>35</v>
      </c>
      <c r="R11" s="9" t="s">
        <v>267</v>
      </c>
      <c r="S11" s="9">
        <v>15</v>
      </c>
      <c r="T11" s="1">
        <f t="shared" si="1"/>
        <v>161</v>
      </c>
      <c r="U11" s="1" t="s">
        <v>277</v>
      </c>
      <c r="V11" s="9">
        <v>35</v>
      </c>
      <c r="W11" s="9" t="s">
        <v>267</v>
      </c>
      <c r="X11" s="9">
        <v>15</v>
      </c>
      <c r="Y11" s="1">
        <f t="shared" si="2"/>
        <v>161</v>
      </c>
      <c r="ZG11" s="4" t="s">
        <v>28</v>
      </c>
    </row>
    <row r="12" spans="1:686" x14ac:dyDescent="0.25">
      <c r="A12" s="1" t="s">
        <v>292</v>
      </c>
      <c r="C12" s="1" t="s">
        <v>292</v>
      </c>
      <c r="D12" s="1" t="s">
        <v>322</v>
      </c>
      <c r="E12" s="1" t="s">
        <v>299</v>
      </c>
      <c r="F12" s="1" t="s">
        <v>312</v>
      </c>
      <c r="G12" s="9" t="s">
        <v>70</v>
      </c>
      <c r="H12" s="1" t="s">
        <v>288</v>
      </c>
      <c r="I12" s="1" t="s">
        <v>287</v>
      </c>
      <c r="J12" s="9" t="s">
        <v>265</v>
      </c>
      <c r="K12" s="1" t="s">
        <v>276</v>
      </c>
      <c r="L12" s="9">
        <v>11.5</v>
      </c>
      <c r="M12" s="9" t="s">
        <v>267</v>
      </c>
      <c r="N12" s="9">
        <v>15</v>
      </c>
      <c r="O12" s="1">
        <f t="shared" si="0"/>
        <v>290.95</v>
      </c>
      <c r="P12" s="1" t="s">
        <v>276</v>
      </c>
      <c r="Q12" s="9">
        <v>11.5</v>
      </c>
      <c r="R12" s="9" t="s">
        <v>267</v>
      </c>
      <c r="S12" s="9">
        <v>15</v>
      </c>
      <c r="T12" s="1">
        <f t="shared" si="1"/>
        <v>290.95</v>
      </c>
      <c r="U12" s="1" t="s">
        <v>276</v>
      </c>
      <c r="V12" s="9">
        <v>11.5</v>
      </c>
      <c r="W12" s="9" t="s">
        <v>267</v>
      </c>
      <c r="X12" s="9">
        <v>15</v>
      </c>
      <c r="Y12" s="1">
        <f t="shared" si="2"/>
        <v>290.95</v>
      </c>
      <c r="ZG12" s="4" t="s">
        <v>29</v>
      </c>
    </row>
    <row r="13" spans="1:686" x14ac:dyDescent="0.25">
      <c r="A13" s="1" t="s">
        <v>268</v>
      </c>
      <c r="C13" s="1" t="s">
        <v>268</v>
      </c>
      <c r="D13" s="1" t="s">
        <v>322</v>
      </c>
      <c r="E13" s="1" t="s">
        <v>302</v>
      </c>
      <c r="F13" s="1" t="s">
        <v>312</v>
      </c>
      <c r="G13" s="9" t="s">
        <v>70</v>
      </c>
      <c r="H13" s="1" t="s">
        <v>288</v>
      </c>
      <c r="I13" s="1" t="s">
        <v>287</v>
      </c>
      <c r="J13" s="9" t="s">
        <v>265</v>
      </c>
      <c r="K13" s="1" t="s">
        <v>275</v>
      </c>
      <c r="L13" s="9">
        <v>35</v>
      </c>
      <c r="M13" s="9" t="s">
        <v>267</v>
      </c>
      <c r="N13" s="9">
        <v>15</v>
      </c>
      <c r="O13" s="1">
        <f t="shared" si="0"/>
        <v>5514.25</v>
      </c>
      <c r="P13" s="1" t="s">
        <v>275</v>
      </c>
      <c r="Q13" s="9">
        <v>35</v>
      </c>
      <c r="R13" s="9" t="s">
        <v>267</v>
      </c>
      <c r="S13" s="9">
        <v>15</v>
      </c>
      <c r="T13" s="1">
        <f t="shared" si="1"/>
        <v>5514.25</v>
      </c>
      <c r="U13" s="1" t="s">
        <v>275</v>
      </c>
      <c r="V13" s="9">
        <v>35</v>
      </c>
      <c r="W13" s="9" t="s">
        <v>267</v>
      </c>
      <c r="X13" s="9">
        <v>15</v>
      </c>
      <c r="Y13" s="1">
        <f t="shared" si="2"/>
        <v>5514.25</v>
      </c>
      <c r="ZG13" s="4" t="s">
        <v>30</v>
      </c>
    </row>
    <row r="14" spans="1:686" x14ac:dyDescent="0.25">
      <c r="A14" s="1" t="s">
        <v>291</v>
      </c>
      <c r="C14" s="1" t="s">
        <v>291</v>
      </c>
      <c r="D14" s="1" t="s">
        <v>322</v>
      </c>
      <c r="E14" s="1" t="s">
        <v>301</v>
      </c>
      <c r="F14" s="1" t="s">
        <v>312</v>
      </c>
      <c r="G14" s="9" t="s">
        <v>70</v>
      </c>
      <c r="H14" s="1" t="s">
        <v>288</v>
      </c>
      <c r="I14" s="1" t="s">
        <v>287</v>
      </c>
      <c r="J14" s="9" t="s">
        <v>265</v>
      </c>
      <c r="K14" s="1" t="s">
        <v>274</v>
      </c>
      <c r="L14" s="9">
        <v>23</v>
      </c>
      <c r="M14" s="9" t="s">
        <v>267</v>
      </c>
      <c r="N14" s="9">
        <v>15</v>
      </c>
      <c r="O14" s="1">
        <f t="shared" si="0"/>
        <v>5131.3</v>
      </c>
      <c r="P14" s="1" t="s">
        <v>274</v>
      </c>
      <c r="Q14" s="9">
        <v>23</v>
      </c>
      <c r="R14" s="9" t="s">
        <v>267</v>
      </c>
      <c r="S14" s="9">
        <v>15</v>
      </c>
      <c r="T14" s="1">
        <f t="shared" si="1"/>
        <v>5131.3</v>
      </c>
      <c r="U14" s="1" t="s">
        <v>274</v>
      </c>
      <c r="V14" s="9">
        <v>23</v>
      </c>
      <c r="W14" s="9" t="s">
        <v>267</v>
      </c>
      <c r="X14" s="9">
        <v>15</v>
      </c>
      <c r="Y14" s="1">
        <f t="shared" si="2"/>
        <v>5131.3</v>
      </c>
      <c r="ZG14" s="4" t="s">
        <v>31</v>
      </c>
    </row>
    <row r="15" spans="1:686" x14ac:dyDescent="0.25">
      <c r="A15" s="1" t="s">
        <v>290</v>
      </c>
      <c r="C15" s="1" t="s">
        <v>290</v>
      </c>
      <c r="D15" s="1" t="s">
        <v>322</v>
      </c>
      <c r="E15" s="1" t="s">
        <v>300</v>
      </c>
      <c r="F15" s="1" t="s">
        <v>312</v>
      </c>
      <c r="G15" s="9" t="s">
        <v>70</v>
      </c>
      <c r="H15" s="1" t="s">
        <v>288</v>
      </c>
      <c r="I15" s="1" t="s">
        <v>287</v>
      </c>
      <c r="J15" s="9" t="s">
        <v>265</v>
      </c>
      <c r="K15" s="1" t="s">
        <v>273</v>
      </c>
      <c r="L15" s="9">
        <v>25</v>
      </c>
      <c r="M15" s="9" t="s">
        <v>267</v>
      </c>
      <c r="N15" s="9">
        <v>15</v>
      </c>
      <c r="O15" s="1">
        <f t="shared" si="0"/>
        <v>948.75</v>
      </c>
      <c r="P15" s="1" t="s">
        <v>273</v>
      </c>
      <c r="Q15" s="9">
        <v>25</v>
      </c>
      <c r="R15" s="9" t="s">
        <v>267</v>
      </c>
      <c r="S15" s="9">
        <v>15</v>
      </c>
      <c r="T15" s="1">
        <f t="shared" si="1"/>
        <v>948.75</v>
      </c>
      <c r="U15" s="1" t="s">
        <v>273</v>
      </c>
      <c r="V15" s="9">
        <v>25</v>
      </c>
      <c r="W15" s="9" t="s">
        <v>267</v>
      </c>
      <c r="X15" s="9">
        <v>15</v>
      </c>
      <c r="Y15" s="1">
        <f t="shared" si="2"/>
        <v>948.75</v>
      </c>
      <c r="ZG15" s="4" t="s">
        <v>32</v>
      </c>
    </row>
    <row r="16" spans="1:686" x14ac:dyDescent="0.25">
      <c r="A16" s="1" t="s">
        <v>289</v>
      </c>
      <c r="C16" s="1" t="s">
        <v>289</v>
      </c>
      <c r="D16" s="1" t="s">
        <v>322</v>
      </c>
      <c r="E16" s="1" t="s">
        <v>299</v>
      </c>
      <c r="F16" s="1" t="s">
        <v>312</v>
      </c>
      <c r="G16" s="9" t="s">
        <v>70</v>
      </c>
      <c r="H16" s="1" t="s">
        <v>288</v>
      </c>
      <c r="I16" s="1" t="s">
        <v>287</v>
      </c>
      <c r="J16" s="9" t="s">
        <v>265</v>
      </c>
      <c r="K16" s="1" t="s">
        <v>272</v>
      </c>
      <c r="L16" s="9">
        <v>11.5</v>
      </c>
      <c r="M16" s="9" t="s">
        <v>267</v>
      </c>
      <c r="N16" s="9">
        <v>15</v>
      </c>
      <c r="O16" s="1">
        <f t="shared" si="0"/>
        <v>1124.125</v>
      </c>
      <c r="P16" s="1" t="s">
        <v>272</v>
      </c>
      <c r="Q16" s="9">
        <v>11.5</v>
      </c>
      <c r="R16" s="9" t="s">
        <v>267</v>
      </c>
      <c r="S16" s="9">
        <v>15</v>
      </c>
      <c r="T16" s="1">
        <f t="shared" si="1"/>
        <v>1124.125</v>
      </c>
      <c r="U16" s="1" t="s">
        <v>272</v>
      </c>
      <c r="V16" s="9">
        <v>11.5</v>
      </c>
      <c r="W16" s="9" t="s">
        <v>267</v>
      </c>
      <c r="X16" s="9">
        <v>15</v>
      </c>
      <c r="Y16" s="1">
        <f t="shared" si="2"/>
        <v>1124.125</v>
      </c>
      <c r="ZG16" s="4" t="s">
        <v>33</v>
      </c>
    </row>
    <row r="17" spans="683:683" x14ac:dyDescent="0.25">
      <c r="ZG17" s="4" t="s">
        <v>34</v>
      </c>
    </row>
    <row r="18" spans="683:683" x14ac:dyDescent="0.25">
      <c r="ZG18" s="4" t="s">
        <v>35</v>
      </c>
    </row>
    <row r="19" spans="683:683" x14ac:dyDescent="0.25">
      <c r="ZG19" s="4" t="s">
        <v>36</v>
      </c>
    </row>
    <row r="20" spans="683:683" x14ac:dyDescent="0.25">
      <c r="ZG20" s="4" t="s">
        <v>37</v>
      </c>
    </row>
    <row r="21" spans="683:683" x14ac:dyDescent="0.25">
      <c r="ZG21" s="4" t="s">
        <v>38</v>
      </c>
    </row>
    <row r="22" spans="683:683" x14ac:dyDescent="0.25">
      <c r="ZG22" s="4" t="s">
        <v>39</v>
      </c>
    </row>
    <row r="23" spans="683:683" x14ac:dyDescent="0.25">
      <c r="ZG23" s="4" t="s">
        <v>40</v>
      </c>
    </row>
    <row r="24" spans="683:683" x14ac:dyDescent="0.25">
      <c r="ZG24" s="4" t="s">
        <v>41</v>
      </c>
    </row>
    <row r="25" spans="683:683" x14ac:dyDescent="0.25">
      <c r="ZG25" s="4" t="s">
        <v>42</v>
      </c>
    </row>
    <row r="26" spans="683:683" x14ac:dyDescent="0.25">
      <c r="ZG26" s="4" t="s">
        <v>43</v>
      </c>
    </row>
    <row r="27" spans="683:683" x14ac:dyDescent="0.25">
      <c r="ZG27" s="4" t="s">
        <v>44</v>
      </c>
    </row>
    <row r="28" spans="683:683" x14ac:dyDescent="0.25">
      <c r="ZG28" s="4" t="s">
        <v>45</v>
      </c>
    </row>
    <row r="29" spans="683:683" x14ac:dyDescent="0.25">
      <c r="ZG29" s="4" t="s">
        <v>46</v>
      </c>
    </row>
    <row r="30" spans="683:683" x14ac:dyDescent="0.25">
      <c r="ZG30" s="4" t="s">
        <v>47</v>
      </c>
    </row>
    <row r="31" spans="683:683" x14ac:dyDescent="0.25">
      <c r="ZG31" s="4" t="s">
        <v>48</v>
      </c>
    </row>
    <row r="32" spans="683:683" x14ac:dyDescent="0.25">
      <c r="ZG32" s="4" t="s">
        <v>49</v>
      </c>
    </row>
    <row r="33" spans="683:683" x14ac:dyDescent="0.25">
      <c r="ZG33" s="4" t="s">
        <v>50</v>
      </c>
    </row>
    <row r="34" spans="683:683" x14ac:dyDescent="0.25">
      <c r="ZG34" s="4" t="s">
        <v>51</v>
      </c>
    </row>
    <row r="35" spans="683:683" x14ac:dyDescent="0.25">
      <c r="ZG35" s="4" t="s">
        <v>52</v>
      </c>
    </row>
    <row r="36" spans="683:683" x14ac:dyDescent="0.25">
      <c r="ZG36" s="4" t="s">
        <v>53</v>
      </c>
    </row>
    <row r="37" spans="683:683" x14ac:dyDescent="0.25">
      <c r="ZG37" s="4" t="s">
        <v>54</v>
      </c>
    </row>
    <row r="38" spans="683:683" x14ac:dyDescent="0.25">
      <c r="ZG38" s="4" t="s">
        <v>55</v>
      </c>
    </row>
    <row r="39" spans="683:683" x14ac:dyDescent="0.25">
      <c r="ZG39" s="4" t="s">
        <v>56</v>
      </c>
    </row>
    <row r="40" spans="683:683" x14ac:dyDescent="0.25">
      <c r="ZG40" s="4" t="s">
        <v>57</v>
      </c>
    </row>
    <row r="41" spans="683:683" x14ac:dyDescent="0.25">
      <c r="ZG41" s="4" t="s">
        <v>58</v>
      </c>
    </row>
    <row r="42" spans="683:683" x14ac:dyDescent="0.25">
      <c r="ZG42" s="4" t="s">
        <v>59</v>
      </c>
    </row>
    <row r="43" spans="683:683" x14ac:dyDescent="0.25">
      <c r="ZG43" s="4" t="s">
        <v>60</v>
      </c>
    </row>
    <row r="44" spans="683:683" x14ac:dyDescent="0.25">
      <c r="ZG44" s="4" t="s">
        <v>61</v>
      </c>
    </row>
    <row r="45" spans="683:683" x14ac:dyDescent="0.25">
      <c r="ZG45" s="4" t="s">
        <v>62</v>
      </c>
    </row>
    <row r="46" spans="683:683" x14ac:dyDescent="0.25">
      <c r="ZG46" s="4" t="s">
        <v>63</v>
      </c>
    </row>
    <row r="47" spans="683:683" x14ac:dyDescent="0.25">
      <c r="ZG47" s="4" t="s">
        <v>64</v>
      </c>
    </row>
    <row r="48" spans="683:683" x14ac:dyDescent="0.25">
      <c r="ZG48" s="4" t="s">
        <v>65</v>
      </c>
    </row>
    <row r="49" spans="683:683" x14ac:dyDescent="0.25">
      <c r="ZG49" s="4" t="s">
        <v>66</v>
      </c>
    </row>
    <row r="50" spans="683:683" x14ac:dyDescent="0.25">
      <c r="ZG50" s="4" t="s">
        <v>67</v>
      </c>
    </row>
    <row r="51" spans="683:683" x14ac:dyDescent="0.25">
      <c r="ZG51" s="4" t="s">
        <v>68</v>
      </c>
    </row>
    <row r="52" spans="683:683" x14ac:dyDescent="0.25">
      <c r="ZG52" s="4" t="s">
        <v>69</v>
      </c>
    </row>
    <row r="53" spans="683:683" x14ac:dyDescent="0.25">
      <c r="ZG53" s="4" t="s">
        <v>70</v>
      </c>
    </row>
    <row r="54" spans="683:683" x14ac:dyDescent="0.25">
      <c r="ZG54" s="4" t="s">
        <v>71</v>
      </c>
    </row>
    <row r="55" spans="683:683" x14ac:dyDescent="0.25">
      <c r="ZG55" s="4" t="s">
        <v>72</v>
      </c>
    </row>
    <row r="56" spans="683:683" x14ac:dyDescent="0.25">
      <c r="ZG56" s="4" t="s">
        <v>73</v>
      </c>
    </row>
    <row r="57" spans="683:683" x14ac:dyDescent="0.25">
      <c r="ZG57" s="4" t="s">
        <v>74</v>
      </c>
    </row>
    <row r="58" spans="683:683" x14ac:dyDescent="0.25">
      <c r="ZG58" s="4" t="s">
        <v>75</v>
      </c>
    </row>
    <row r="59" spans="683:683" x14ac:dyDescent="0.25">
      <c r="ZG59" s="4" t="s">
        <v>76</v>
      </c>
    </row>
    <row r="60" spans="683:683" x14ac:dyDescent="0.25">
      <c r="ZG60" s="4" t="s">
        <v>77</v>
      </c>
    </row>
    <row r="61" spans="683:683" x14ac:dyDescent="0.25">
      <c r="ZG61" s="4" t="s">
        <v>78</v>
      </c>
    </row>
    <row r="62" spans="683:683" x14ac:dyDescent="0.25">
      <c r="ZG62" s="4" t="s">
        <v>79</v>
      </c>
    </row>
    <row r="63" spans="683:683" x14ac:dyDescent="0.25">
      <c r="ZG63" s="4" t="s">
        <v>80</v>
      </c>
    </row>
    <row r="64" spans="683:683" x14ac:dyDescent="0.25">
      <c r="ZG64" s="4" t="s">
        <v>81</v>
      </c>
    </row>
    <row r="65" spans="683:683" x14ac:dyDescent="0.25">
      <c r="ZG65" s="4" t="s">
        <v>82</v>
      </c>
    </row>
    <row r="66" spans="683:683" x14ac:dyDescent="0.25">
      <c r="ZG66" s="4" t="s">
        <v>83</v>
      </c>
    </row>
    <row r="67" spans="683:683" x14ac:dyDescent="0.25">
      <c r="ZG67" s="4" t="s">
        <v>84</v>
      </c>
    </row>
    <row r="68" spans="683:683" x14ac:dyDescent="0.25">
      <c r="ZG68" s="4" t="s">
        <v>85</v>
      </c>
    </row>
    <row r="69" spans="683:683" x14ac:dyDescent="0.25">
      <c r="ZG69" s="4" t="s">
        <v>86</v>
      </c>
    </row>
    <row r="70" spans="683:683" x14ac:dyDescent="0.25">
      <c r="ZG70" s="4" t="s">
        <v>87</v>
      </c>
    </row>
    <row r="71" spans="683:683" x14ac:dyDescent="0.25">
      <c r="ZG71" s="4" t="s">
        <v>88</v>
      </c>
    </row>
    <row r="72" spans="683:683" x14ac:dyDescent="0.25">
      <c r="ZG72" s="4" t="s">
        <v>89</v>
      </c>
    </row>
    <row r="73" spans="683:683" x14ac:dyDescent="0.25">
      <c r="ZG73" s="4" t="s">
        <v>90</v>
      </c>
    </row>
    <row r="74" spans="683:683" x14ac:dyDescent="0.25">
      <c r="ZG74" s="4" t="s">
        <v>91</v>
      </c>
    </row>
    <row r="75" spans="683:683" x14ac:dyDescent="0.25">
      <c r="ZG75" s="4" t="s">
        <v>92</v>
      </c>
    </row>
    <row r="76" spans="683:683" x14ac:dyDescent="0.25">
      <c r="ZG76" s="4" t="s">
        <v>93</v>
      </c>
    </row>
    <row r="77" spans="683:683" x14ac:dyDescent="0.25">
      <c r="ZG77" s="4" t="s">
        <v>94</v>
      </c>
    </row>
    <row r="78" spans="683:683" x14ac:dyDescent="0.25">
      <c r="ZG78" s="4" t="s">
        <v>95</v>
      </c>
    </row>
    <row r="79" spans="683:683" x14ac:dyDescent="0.25">
      <c r="ZG79" s="4" t="s">
        <v>96</v>
      </c>
    </row>
    <row r="80" spans="683:683" x14ac:dyDescent="0.25">
      <c r="ZG80" s="4" t="s">
        <v>97</v>
      </c>
    </row>
    <row r="81" spans="683:683" x14ac:dyDescent="0.25">
      <c r="ZG81" s="4" t="s">
        <v>98</v>
      </c>
    </row>
    <row r="82" spans="683:683" x14ac:dyDescent="0.25">
      <c r="ZG82" s="4" t="s">
        <v>99</v>
      </c>
    </row>
    <row r="83" spans="683:683" x14ac:dyDescent="0.25">
      <c r="ZG83" s="4" t="s">
        <v>100</v>
      </c>
    </row>
    <row r="84" spans="683:683" x14ac:dyDescent="0.25">
      <c r="ZG84" s="4" t="s">
        <v>101</v>
      </c>
    </row>
    <row r="85" spans="683:683" x14ac:dyDescent="0.25">
      <c r="ZG85" s="4" t="s">
        <v>102</v>
      </c>
    </row>
    <row r="86" spans="683:683" x14ac:dyDescent="0.25">
      <c r="ZG86" s="4" t="s">
        <v>103</v>
      </c>
    </row>
    <row r="87" spans="683:683" x14ac:dyDescent="0.25">
      <c r="ZG87" s="4" t="s">
        <v>104</v>
      </c>
    </row>
    <row r="88" spans="683:683" x14ac:dyDescent="0.25">
      <c r="ZG88" s="4" t="s">
        <v>105</v>
      </c>
    </row>
    <row r="89" spans="683:683" x14ac:dyDescent="0.25">
      <c r="ZG89" s="4" t="s">
        <v>106</v>
      </c>
    </row>
    <row r="90" spans="683:683" x14ac:dyDescent="0.25">
      <c r="ZG90" s="4" t="s">
        <v>107</v>
      </c>
    </row>
    <row r="91" spans="683:683" x14ac:dyDescent="0.25">
      <c r="ZG91" s="4" t="s">
        <v>108</v>
      </c>
    </row>
    <row r="92" spans="683:683" x14ac:dyDescent="0.25">
      <c r="ZG92" s="4" t="s">
        <v>109</v>
      </c>
    </row>
    <row r="93" spans="683:683" x14ac:dyDescent="0.25">
      <c r="ZG93" s="4" t="s">
        <v>110</v>
      </c>
    </row>
    <row r="94" spans="683:683" x14ac:dyDescent="0.25">
      <c r="ZG94" s="4" t="s">
        <v>111</v>
      </c>
    </row>
    <row r="95" spans="683:683" x14ac:dyDescent="0.25">
      <c r="ZG95" s="4" t="s">
        <v>112</v>
      </c>
    </row>
    <row r="96" spans="683:683" x14ac:dyDescent="0.25">
      <c r="ZG96" s="4" t="s">
        <v>113</v>
      </c>
    </row>
    <row r="97" spans="683:683" x14ac:dyDescent="0.25">
      <c r="ZG97" s="4" t="s">
        <v>114</v>
      </c>
    </row>
    <row r="98" spans="683:683" x14ac:dyDescent="0.25">
      <c r="ZG98" s="4" t="s">
        <v>115</v>
      </c>
    </row>
    <row r="99" spans="683:683" x14ac:dyDescent="0.25">
      <c r="ZG99" s="4" t="s">
        <v>116</v>
      </c>
    </row>
    <row r="100" spans="683:683" x14ac:dyDescent="0.25">
      <c r="ZG100" s="4" t="s">
        <v>117</v>
      </c>
    </row>
    <row r="101" spans="683:683" x14ac:dyDescent="0.25">
      <c r="ZG101" s="4" t="s">
        <v>118</v>
      </c>
    </row>
    <row r="102" spans="683:683" x14ac:dyDescent="0.25">
      <c r="ZG102" s="4" t="s">
        <v>119</v>
      </c>
    </row>
    <row r="103" spans="683:683" x14ac:dyDescent="0.25">
      <c r="ZG103" s="4" t="s">
        <v>120</v>
      </c>
    </row>
    <row r="104" spans="683:683" x14ac:dyDescent="0.25">
      <c r="ZG104" s="4" t="s">
        <v>121</v>
      </c>
    </row>
    <row r="105" spans="683:683" x14ac:dyDescent="0.25">
      <c r="ZG105" s="4" t="s">
        <v>122</v>
      </c>
    </row>
    <row r="106" spans="683:683" x14ac:dyDescent="0.25">
      <c r="ZG106" s="4" t="s">
        <v>123</v>
      </c>
    </row>
    <row r="107" spans="683:683" x14ac:dyDescent="0.25">
      <c r="ZG107" s="4" t="s">
        <v>124</v>
      </c>
    </row>
    <row r="108" spans="683:683" x14ac:dyDescent="0.25">
      <c r="ZG108" s="4" t="s">
        <v>125</v>
      </c>
    </row>
    <row r="109" spans="683:683" x14ac:dyDescent="0.25">
      <c r="ZG109" s="4" t="s">
        <v>126</v>
      </c>
    </row>
    <row r="110" spans="683:683" x14ac:dyDescent="0.25">
      <c r="ZG110" s="4" t="s">
        <v>127</v>
      </c>
    </row>
    <row r="111" spans="683:683" x14ac:dyDescent="0.25">
      <c r="ZG111" s="4" t="s">
        <v>128</v>
      </c>
    </row>
    <row r="112" spans="683:683" x14ac:dyDescent="0.25">
      <c r="ZG112" s="4" t="s">
        <v>129</v>
      </c>
    </row>
    <row r="113" spans="683:683" x14ac:dyDescent="0.25">
      <c r="ZG113" s="4" t="s">
        <v>130</v>
      </c>
    </row>
    <row r="114" spans="683:683" x14ac:dyDescent="0.25">
      <c r="ZG114" s="4" t="s">
        <v>131</v>
      </c>
    </row>
    <row r="115" spans="683:683" x14ac:dyDescent="0.25">
      <c r="ZG115" s="4" t="s">
        <v>132</v>
      </c>
    </row>
    <row r="116" spans="683:683" x14ac:dyDescent="0.25">
      <c r="ZG116" s="4" t="s">
        <v>133</v>
      </c>
    </row>
    <row r="117" spans="683:683" x14ac:dyDescent="0.25">
      <c r="ZG117" s="4" t="s">
        <v>134</v>
      </c>
    </row>
    <row r="118" spans="683:683" x14ac:dyDescent="0.25">
      <c r="ZG118" s="4" t="s">
        <v>135</v>
      </c>
    </row>
    <row r="119" spans="683:683" x14ac:dyDescent="0.25">
      <c r="ZG119" s="4" t="s">
        <v>136</v>
      </c>
    </row>
    <row r="120" spans="683:683" x14ac:dyDescent="0.25">
      <c r="ZG120" s="4" t="s">
        <v>137</v>
      </c>
    </row>
    <row r="121" spans="683:683" x14ac:dyDescent="0.25">
      <c r="ZG121" s="4" t="s">
        <v>138</v>
      </c>
    </row>
    <row r="122" spans="683:683" x14ac:dyDescent="0.25">
      <c r="ZG122" s="4" t="s">
        <v>139</v>
      </c>
    </row>
    <row r="123" spans="683:683" x14ac:dyDescent="0.25">
      <c r="ZG123" s="4" t="s">
        <v>140</v>
      </c>
    </row>
    <row r="124" spans="683:683" x14ac:dyDescent="0.25">
      <c r="ZG124" s="4" t="s">
        <v>141</v>
      </c>
    </row>
    <row r="125" spans="683:683" x14ac:dyDescent="0.25">
      <c r="ZG125" s="4" t="s">
        <v>142</v>
      </c>
    </row>
    <row r="126" spans="683:683" x14ac:dyDescent="0.25">
      <c r="ZG126" s="4" t="s">
        <v>143</v>
      </c>
    </row>
    <row r="127" spans="683:683" x14ac:dyDescent="0.25">
      <c r="ZG127" s="4" t="s">
        <v>144</v>
      </c>
    </row>
    <row r="128" spans="683:683" x14ac:dyDescent="0.25">
      <c r="ZG128" s="4" t="s">
        <v>145</v>
      </c>
    </row>
    <row r="129" spans="683:683" x14ac:dyDescent="0.25">
      <c r="ZG129" s="4" t="s">
        <v>146</v>
      </c>
    </row>
    <row r="130" spans="683:683" x14ac:dyDescent="0.25">
      <c r="ZG130" s="4" t="s">
        <v>147</v>
      </c>
    </row>
    <row r="131" spans="683:683" x14ac:dyDescent="0.25">
      <c r="ZG131" s="4" t="s">
        <v>148</v>
      </c>
    </row>
    <row r="132" spans="683:683" x14ac:dyDescent="0.25">
      <c r="ZG132" s="4" t="s">
        <v>149</v>
      </c>
    </row>
    <row r="133" spans="683:683" x14ac:dyDescent="0.25">
      <c r="ZG133" s="4" t="s">
        <v>150</v>
      </c>
    </row>
    <row r="134" spans="683:683" x14ac:dyDescent="0.25">
      <c r="ZG134" s="4" t="s">
        <v>151</v>
      </c>
    </row>
    <row r="135" spans="683:683" x14ac:dyDescent="0.25">
      <c r="ZG135" s="4" t="s">
        <v>152</v>
      </c>
    </row>
    <row r="136" spans="683:683" x14ac:dyDescent="0.25">
      <c r="ZG136" s="4" t="s">
        <v>153</v>
      </c>
    </row>
    <row r="137" spans="683:683" x14ac:dyDescent="0.25">
      <c r="ZG137" s="4" t="s">
        <v>154</v>
      </c>
    </row>
    <row r="138" spans="683:683" x14ac:dyDescent="0.25">
      <c r="ZG138" s="4" t="s">
        <v>155</v>
      </c>
    </row>
    <row r="139" spans="683:683" x14ac:dyDescent="0.25">
      <c r="ZG139" s="4" t="s">
        <v>156</v>
      </c>
    </row>
    <row r="140" spans="683:683" x14ac:dyDescent="0.25">
      <c r="ZG140" s="4" t="s">
        <v>157</v>
      </c>
    </row>
    <row r="141" spans="683:683" x14ac:dyDescent="0.25">
      <c r="ZG141" s="4" t="s">
        <v>158</v>
      </c>
    </row>
    <row r="142" spans="683:683" x14ac:dyDescent="0.25">
      <c r="ZG142" s="4" t="s">
        <v>159</v>
      </c>
    </row>
    <row r="143" spans="683:683" x14ac:dyDescent="0.25">
      <c r="ZG143" s="4" t="s">
        <v>160</v>
      </c>
    </row>
    <row r="144" spans="683:683" x14ac:dyDescent="0.25">
      <c r="ZG144" s="4" t="s">
        <v>161</v>
      </c>
    </row>
    <row r="145" spans="683:683" x14ac:dyDescent="0.25">
      <c r="ZG145" s="4" t="s">
        <v>162</v>
      </c>
    </row>
    <row r="146" spans="683:683" x14ac:dyDescent="0.25">
      <c r="ZG146" s="4" t="s">
        <v>163</v>
      </c>
    </row>
    <row r="147" spans="683:683" x14ac:dyDescent="0.25">
      <c r="ZG147" s="4" t="s">
        <v>164</v>
      </c>
    </row>
    <row r="148" spans="683:683" x14ac:dyDescent="0.25">
      <c r="ZG148" s="4" t="s">
        <v>165</v>
      </c>
    </row>
    <row r="149" spans="683:683" x14ac:dyDescent="0.25">
      <c r="ZG149" s="4" t="s">
        <v>166</v>
      </c>
    </row>
    <row r="150" spans="683:683" x14ac:dyDescent="0.25">
      <c r="ZG150" s="4" t="s">
        <v>167</v>
      </c>
    </row>
    <row r="151" spans="683:683" x14ac:dyDescent="0.25">
      <c r="ZG151" s="4" t="s">
        <v>168</v>
      </c>
    </row>
    <row r="152" spans="683:683" x14ac:dyDescent="0.25">
      <c r="ZG152" s="4" t="s">
        <v>169</v>
      </c>
    </row>
    <row r="153" spans="683:683" x14ac:dyDescent="0.25">
      <c r="ZG153" s="4" t="s">
        <v>170</v>
      </c>
    </row>
    <row r="154" spans="683:683" x14ac:dyDescent="0.25">
      <c r="ZG154" s="4" t="s">
        <v>171</v>
      </c>
    </row>
    <row r="155" spans="683:683" x14ac:dyDescent="0.25">
      <c r="ZG155" s="4" t="s">
        <v>172</v>
      </c>
    </row>
    <row r="156" spans="683:683" x14ac:dyDescent="0.25">
      <c r="ZG156" s="4" t="s">
        <v>173</v>
      </c>
    </row>
    <row r="157" spans="683:683" x14ac:dyDescent="0.25">
      <c r="ZG157" s="4" t="s">
        <v>174</v>
      </c>
    </row>
    <row r="158" spans="683:683" x14ac:dyDescent="0.25">
      <c r="ZG158" s="4" t="s">
        <v>175</v>
      </c>
    </row>
    <row r="159" spans="683:683" x14ac:dyDescent="0.25">
      <c r="ZG159" s="4" t="s">
        <v>176</v>
      </c>
    </row>
    <row r="160" spans="683:683" x14ac:dyDescent="0.25">
      <c r="ZG160" s="4" t="s">
        <v>177</v>
      </c>
    </row>
    <row r="161" spans="683:683" x14ac:dyDescent="0.25">
      <c r="ZG161" s="4" t="s">
        <v>178</v>
      </c>
    </row>
    <row r="162" spans="683:683" x14ac:dyDescent="0.25">
      <c r="ZG162" s="4" t="s">
        <v>179</v>
      </c>
    </row>
    <row r="163" spans="683:683" x14ac:dyDescent="0.25">
      <c r="ZG163" s="4" t="s">
        <v>180</v>
      </c>
    </row>
    <row r="164" spans="683:683" x14ac:dyDescent="0.25">
      <c r="ZG164" s="4" t="s">
        <v>181</v>
      </c>
    </row>
    <row r="165" spans="683:683" x14ac:dyDescent="0.25">
      <c r="ZG165" s="4" t="s">
        <v>182</v>
      </c>
    </row>
    <row r="166" spans="683:683" x14ac:dyDescent="0.25">
      <c r="ZG166" s="4" t="s">
        <v>183</v>
      </c>
    </row>
    <row r="167" spans="683:683" x14ac:dyDescent="0.25">
      <c r="ZG167" s="4" t="s">
        <v>184</v>
      </c>
    </row>
    <row r="168" spans="683:683" x14ac:dyDescent="0.25">
      <c r="ZG168" s="4" t="s">
        <v>185</v>
      </c>
    </row>
    <row r="169" spans="683:683" x14ac:dyDescent="0.25">
      <c r="ZG169" s="4" t="s">
        <v>186</v>
      </c>
    </row>
    <row r="170" spans="683:683" x14ac:dyDescent="0.25">
      <c r="ZG170" s="4" t="s">
        <v>187</v>
      </c>
    </row>
    <row r="171" spans="683:683" x14ac:dyDescent="0.25">
      <c r="ZG171" s="4" t="s">
        <v>188</v>
      </c>
    </row>
    <row r="172" spans="683:683" x14ac:dyDescent="0.25">
      <c r="ZG172" s="4" t="s">
        <v>189</v>
      </c>
    </row>
    <row r="173" spans="683:683" x14ac:dyDescent="0.25">
      <c r="ZG173" s="4" t="s">
        <v>190</v>
      </c>
    </row>
    <row r="174" spans="683:683" x14ac:dyDescent="0.25">
      <c r="ZG174" s="4" t="s">
        <v>191</v>
      </c>
    </row>
    <row r="175" spans="683:683" x14ac:dyDescent="0.25">
      <c r="ZG175" s="4" t="s">
        <v>192</v>
      </c>
    </row>
    <row r="176" spans="683:683" x14ac:dyDescent="0.25">
      <c r="ZG176" s="4" t="s">
        <v>193</v>
      </c>
    </row>
    <row r="177" spans="683:683" x14ac:dyDescent="0.25">
      <c r="ZG177" s="4" t="s">
        <v>194</v>
      </c>
    </row>
    <row r="178" spans="683:683" x14ac:dyDescent="0.25">
      <c r="ZG178" s="4" t="s">
        <v>195</v>
      </c>
    </row>
    <row r="179" spans="683:683" x14ac:dyDescent="0.25">
      <c r="ZG179" s="4" t="s">
        <v>196</v>
      </c>
    </row>
    <row r="180" spans="683:683" x14ac:dyDescent="0.25">
      <c r="ZG180" s="4" t="s">
        <v>197</v>
      </c>
    </row>
    <row r="181" spans="683:683" x14ac:dyDescent="0.25">
      <c r="ZG181" s="4" t="s">
        <v>198</v>
      </c>
    </row>
    <row r="182" spans="683:683" x14ac:dyDescent="0.25">
      <c r="ZG182" s="4" t="s">
        <v>199</v>
      </c>
    </row>
    <row r="183" spans="683:683" x14ac:dyDescent="0.25">
      <c r="ZG183" s="4" t="s">
        <v>200</v>
      </c>
    </row>
    <row r="184" spans="683:683" x14ac:dyDescent="0.25">
      <c r="ZG184" s="4" t="s">
        <v>201</v>
      </c>
    </row>
    <row r="185" spans="683:683" x14ac:dyDescent="0.25">
      <c r="ZG185" s="4" t="s">
        <v>202</v>
      </c>
    </row>
    <row r="186" spans="683:683" x14ac:dyDescent="0.25">
      <c r="ZG186" s="4" t="s">
        <v>203</v>
      </c>
    </row>
    <row r="187" spans="683:683" x14ac:dyDescent="0.25">
      <c r="ZG187" s="4" t="s">
        <v>204</v>
      </c>
    </row>
    <row r="188" spans="683:683" x14ac:dyDescent="0.25">
      <c r="ZG188" s="4" t="s">
        <v>205</v>
      </c>
    </row>
    <row r="189" spans="683:683" x14ac:dyDescent="0.25">
      <c r="ZG189" s="4" t="s">
        <v>206</v>
      </c>
    </row>
    <row r="190" spans="683:683" x14ac:dyDescent="0.25">
      <c r="ZG190" s="4" t="s">
        <v>207</v>
      </c>
    </row>
    <row r="191" spans="683:683" x14ac:dyDescent="0.25">
      <c r="ZG191" s="4" t="s">
        <v>208</v>
      </c>
    </row>
    <row r="192" spans="683:683" x14ac:dyDescent="0.25">
      <c r="ZG192" s="4" t="s">
        <v>209</v>
      </c>
    </row>
    <row r="193" spans="683:683" x14ac:dyDescent="0.25">
      <c r="ZG193" s="4" t="s">
        <v>210</v>
      </c>
    </row>
    <row r="194" spans="683:683" x14ac:dyDescent="0.25">
      <c r="ZG194" s="4" t="s">
        <v>211</v>
      </c>
    </row>
    <row r="195" spans="683:683" x14ac:dyDescent="0.25">
      <c r="ZG195" s="4" t="s">
        <v>212</v>
      </c>
    </row>
    <row r="196" spans="683:683" x14ac:dyDescent="0.25">
      <c r="ZG196" s="4" t="s">
        <v>213</v>
      </c>
    </row>
    <row r="197" spans="683:683" x14ac:dyDescent="0.25">
      <c r="ZG197" s="4" t="s">
        <v>214</v>
      </c>
    </row>
    <row r="198" spans="683:683" x14ac:dyDescent="0.25">
      <c r="ZG198" s="4" t="s">
        <v>215</v>
      </c>
    </row>
    <row r="199" spans="683:683" x14ac:dyDescent="0.25">
      <c r="ZG199" s="4" t="s">
        <v>216</v>
      </c>
    </row>
    <row r="200" spans="683:683" x14ac:dyDescent="0.25">
      <c r="ZG200" s="4" t="s">
        <v>217</v>
      </c>
    </row>
    <row r="201" spans="683:683" x14ac:dyDescent="0.25">
      <c r="ZG201" s="4" t="s">
        <v>218</v>
      </c>
    </row>
    <row r="202" spans="683:683" x14ac:dyDescent="0.25">
      <c r="ZG202" s="4" t="s">
        <v>219</v>
      </c>
    </row>
    <row r="203" spans="683:683" x14ac:dyDescent="0.25">
      <c r="ZG203" s="4" t="s">
        <v>220</v>
      </c>
    </row>
    <row r="204" spans="683:683" x14ac:dyDescent="0.25">
      <c r="ZG204" s="4" t="s">
        <v>221</v>
      </c>
    </row>
    <row r="205" spans="683:683" x14ac:dyDescent="0.25">
      <c r="ZG205" s="4" t="s">
        <v>222</v>
      </c>
    </row>
    <row r="206" spans="683:683" x14ac:dyDescent="0.25">
      <c r="ZG206" s="4" t="s">
        <v>223</v>
      </c>
    </row>
    <row r="207" spans="683:683" x14ac:dyDescent="0.25">
      <c r="ZG207" s="4" t="s">
        <v>224</v>
      </c>
    </row>
    <row r="208" spans="683:683" x14ac:dyDescent="0.25">
      <c r="ZG208" s="4" t="s">
        <v>225</v>
      </c>
    </row>
    <row r="209" spans="683:683" x14ac:dyDescent="0.25">
      <c r="ZG209" s="4" t="s">
        <v>226</v>
      </c>
    </row>
    <row r="210" spans="683:683" x14ac:dyDescent="0.25">
      <c r="ZG210" s="4" t="s">
        <v>227</v>
      </c>
    </row>
    <row r="211" spans="683:683" x14ac:dyDescent="0.25">
      <c r="ZG211" s="4" t="s">
        <v>228</v>
      </c>
    </row>
    <row r="212" spans="683:683" x14ac:dyDescent="0.25">
      <c r="ZG212" s="4" t="s">
        <v>229</v>
      </c>
    </row>
    <row r="213" spans="683:683" x14ac:dyDescent="0.25">
      <c r="ZG213" s="4" t="s">
        <v>230</v>
      </c>
    </row>
    <row r="214" spans="683:683" x14ac:dyDescent="0.25">
      <c r="ZG214" s="4" t="s">
        <v>231</v>
      </c>
    </row>
    <row r="215" spans="683:683" x14ac:dyDescent="0.25">
      <c r="ZG215" s="4" t="s">
        <v>232</v>
      </c>
    </row>
    <row r="216" spans="683:683" x14ac:dyDescent="0.25">
      <c r="ZG216" s="4" t="s">
        <v>233</v>
      </c>
    </row>
    <row r="217" spans="683:683" x14ac:dyDescent="0.25">
      <c r="ZG217" s="4" t="s">
        <v>234</v>
      </c>
    </row>
    <row r="218" spans="683:683" x14ac:dyDescent="0.25">
      <c r="ZG218" s="4" t="s">
        <v>235</v>
      </c>
    </row>
    <row r="219" spans="683:683" x14ac:dyDescent="0.25">
      <c r="ZG219" s="4" t="s">
        <v>236</v>
      </c>
    </row>
    <row r="220" spans="683:683" x14ac:dyDescent="0.25">
      <c r="ZG220" s="4" t="s">
        <v>237</v>
      </c>
    </row>
    <row r="221" spans="683:683" x14ac:dyDescent="0.25">
      <c r="ZG221" s="4" t="s">
        <v>238</v>
      </c>
    </row>
    <row r="222" spans="683:683" x14ac:dyDescent="0.25">
      <c r="ZG222" s="4" t="s">
        <v>239</v>
      </c>
    </row>
    <row r="223" spans="683:683" x14ac:dyDescent="0.25">
      <c r="ZG223" s="4" t="s">
        <v>240</v>
      </c>
    </row>
    <row r="224" spans="683:683" x14ac:dyDescent="0.25">
      <c r="ZG224" s="4" t="s">
        <v>241</v>
      </c>
    </row>
    <row r="225" spans="683:683" x14ac:dyDescent="0.25">
      <c r="ZG225" s="4" t="s">
        <v>242</v>
      </c>
    </row>
    <row r="226" spans="683:683" x14ac:dyDescent="0.25">
      <c r="ZG226" s="4" t="s">
        <v>243</v>
      </c>
    </row>
    <row r="227" spans="683:683" x14ac:dyDescent="0.25">
      <c r="ZG227" s="4" t="s">
        <v>244</v>
      </c>
    </row>
    <row r="228" spans="683:683" x14ac:dyDescent="0.25">
      <c r="ZG228" s="4" t="s">
        <v>245</v>
      </c>
    </row>
    <row r="229" spans="683:683" x14ac:dyDescent="0.25">
      <c r="ZG229" s="4" t="s">
        <v>246</v>
      </c>
    </row>
    <row r="230" spans="683:683" x14ac:dyDescent="0.25">
      <c r="ZG230" s="4" t="s">
        <v>247</v>
      </c>
    </row>
    <row r="231" spans="683:683" x14ac:dyDescent="0.25">
      <c r="ZG231" s="4" t="s">
        <v>248</v>
      </c>
    </row>
    <row r="232" spans="683:683" x14ac:dyDescent="0.25">
      <c r="ZG232" s="4" t="s">
        <v>249</v>
      </c>
    </row>
    <row r="233" spans="683:683" x14ac:dyDescent="0.25">
      <c r="ZG233" s="4" t="s">
        <v>250</v>
      </c>
    </row>
    <row r="234" spans="683:683" x14ac:dyDescent="0.25">
      <c r="ZG234" s="4" t="s">
        <v>251</v>
      </c>
    </row>
    <row r="235" spans="683:683" x14ac:dyDescent="0.25">
      <c r="ZG235" s="4" t="s">
        <v>252</v>
      </c>
    </row>
    <row r="236" spans="683:683" x14ac:dyDescent="0.25">
      <c r="ZG236" s="4" t="s">
        <v>253</v>
      </c>
    </row>
    <row r="237" spans="683:683" x14ac:dyDescent="0.25">
      <c r="ZG237" s="4" t="s">
        <v>254</v>
      </c>
    </row>
    <row r="238" spans="683:683" x14ac:dyDescent="0.25">
      <c r="ZG238" s="4" t="s">
        <v>255</v>
      </c>
    </row>
    <row r="239" spans="683:683" x14ac:dyDescent="0.25">
      <c r="ZG239" s="4" t="s">
        <v>256</v>
      </c>
    </row>
    <row r="240" spans="683:683" x14ac:dyDescent="0.25">
      <c r="ZG240" s="4" t="s">
        <v>257</v>
      </c>
    </row>
    <row r="241" spans="683:683" x14ac:dyDescent="0.25">
      <c r="ZG241" s="4" t="s">
        <v>258</v>
      </c>
    </row>
    <row r="242" spans="683:683" x14ac:dyDescent="0.25">
      <c r="ZG242" s="4" t="s">
        <v>259</v>
      </c>
    </row>
    <row r="243" spans="683:683" x14ac:dyDescent="0.25">
      <c r="ZG243" s="4" t="s">
        <v>260</v>
      </c>
    </row>
    <row r="244" spans="683:683" x14ac:dyDescent="0.25">
      <c r="ZG244" s="4" t="s">
        <v>261</v>
      </c>
    </row>
    <row r="245" spans="683:683" x14ac:dyDescent="0.25">
      <c r="ZG245" s="4" t="s">
        <v>262</v>
      </c>
    </row>
    <row r="246" spans="683:683" x14ac:dyDescent="0.25">
      <c r="ZG246" s="4" t="s">
        <v>263</v>
      </c>
    </row>
  </sheetData>
  <sheetProtection password="94AB" sheet="1" objects="1"/>
  <mergeCells count="3">
    <mergeCell ref="K1:O1"/>
    <mergeCell ref="P1:T1"/>
    <mergeCell ref="U1:Y1"/>
  </mergeCells>
  <dataValidations count="11">
    <dataValidation type="whole" allowBlank="1" showInputMessage="1" showErrorMessage="1" error="الرجاء ادخال الرقم التسلسلي رقم صحيح باللغة الانجليزية 0123456789" sqref="A3:A16" xr:uid="{00000000-0002-0000-0000-000000000000}">
      <formula1>1</formula1>
      <formula2>14</formula2>
    </dataValidation>
    <dataValidation type="textLength" operator="lessThan" allowBlank="1" showInputMessage="1" showErrorMessage="1" sqref="B3:B16 E3:F16" xr:uid="{00000000-0002-0000-0000-000001000000}">
      <formula1>500</formula1>
    </dataValidation>
    <dataValidation type="textLength" operator="lessThan" allowBlank="1" showInputMessage="1" showErrorMessage="1" error="الرجاء إدخال البند من حرفين حتي 150 حرف" sqref="C3:C16" xr:uid="{00000000-0002-0000-0000-000002000000}">
      <formula1>500</formula1>
    </dataValidation>
    <dataValidation type="textLength" operator="lessThan" allowBlank="1" showInputMessage="1" showErrorMessage="1" error="الرجاء ادخال نص وحدة القياس" sqref="D3:D16" xr:uid="{00000000-0002-0000-0000-000003000000}">
      <formula1>500</formula1>
    </dataValidation>
    <dataValidation type="list" showInputMessage="1" showErrorMessage="1" errorTitle="حقل مطلوب" error="اختر بلدالمنشأ ." sqref="G3:G16" xr:uid="{00000000-0002-0000-0000-000004000000}">
      <formula1>$ZG$1:$ZG$246</formula1>
    </dataValidation>
    <dataValidation type="list" showInputMessage="1" showErrorMessage="1" errorTitle="حقل مطلوب" error="اختر حالة الصنف ." sqref="J3:J16" xr:uid="{00000000-0002-0000-0000-000005000000}">
      <formula1>$ZJ$1:$ZJ$3</formula1>
    </dataValidation>
    <dataValidation type="decimal" allowBlank="1" showInputMessage="1" showErrorMessage="1" error="الرجاء ادخال الكمية رقم صحيح باللغة الانجليزية 0123456789" sqref="K3:K16 P3:P16 U3:U16" xr:uid="{00000000-0002-0000-0000-000006000000}">
      <formula1>0</formula1>
      <formula2>1000000000</formula2>
    </dataValidation>
    <dataValidation type="decimal" allowBlank="1" showInputMessage="1" showErrorMessage="1" error="الرجاء ادخال سعر الوحدة (الريال) رقم صحيح او كسر اكبر من صفر وبحد اقصي أربع ارقام بعد العلامه العشرية باللغة الانجليزية 0123456789" sqref="L3:L16 Q3:Q16 V3:V16" xr:uid="{00000000-0002-0000-0000-000007000000}">
      <formula1>0</formula1>
      <formula2>1000000000</formula2>
    </dataValidation>
    <dataValidation type="decimal" allowBlank="1" showInputMessage="1" showErrorMessage="1" error="الرجاء ادخال نسبة الخصم للوحدة (%) رقم  من 0-100 باللغة الانجليزية 0123456789" sqref="M3:M16 R3:R16 W3:W16" xr:uid="{00000000-0002-0000-0000-000008000000}">
      <formula1>0</formula1>
      <formula2>100</formula2>
    </dataValidation>
    <dataValidation type="decimal" allowBlank="1" showInputMessage="1" showErrorMessage="1" error="الرجاء ادخال نسبة ضريبة القيمة المضافة (%) رقم  من 0-100 باللغة الانجليزية 0123456789" sqref="N3:N16 S3:S16 X3:X16" xr:uid="{00000000-0002-0000-0000-000009000000}">
      <formula1>0</formula1>
      <formula2>100</formula2>
    </dataValidation>
    <dataValidation allowBlank="1" showInputMessage="1" showErrorMessage="1" sqref="O3:O16 T3:T16 Y3:Y16" xr:uid="{00000000-0002-0000-0000-00000A000000}"/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ثانيا  زيوت القير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nawaf albishri</cp:lastModifiedBy>
  <dcterms:created xsi:type="dcterms:W3CDTF">2025-11-22T14:02:18Z</dcterms:created>
  <dcterms:modified xsi:type="dcterms:W3CDTF">2025-11-23T21:44:00Z</dcterms:modified>
</cp:coreProperties>
</file>