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أمن المنشات/"/>
    </mc:Choice>
  </mc:AlternateContent>
  <xr:revisionPtr revIDLastSave="1022" documentId="8_{DE298C4C-A93A-4662-B1C9-1ADCF6F5CC33}" xr6:coauthVersionLast="47" xr6:coauthVersionMax="47" xr10:uidLastSave="{1A036802-962B-4C24-9CD3-69DB2ADC5FFD}"/>
  <bookViews>
    <workbookView minimized="1" xWindow="5895" yWindow="8685" windowWidth="21600" windowHeight="11295" activeTab="1" xr2:uid="{F8B5A8BD-EE6A-A545-BB05-4847B8DC2C5C}"/>
  </bookViews>
  <sheets>
    <sheet name="زيوت المحركات " sheetId="1" r:id="rId1"/>
    <sheet name="الطواري" sheetId="2" r:id="rId2"/>
  </sheets>
  <definedNames>
    <definedName name="_xlnm.Print_Area" localSheetId="0">'زيوت المحركات '!$U$1:$AD$18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" i="2" l="1"/>
  <c r="AB10" i="2" s="1"/>
  <c r="AA10" i="2" s="1"/>
  <c r="AC11" i="2"/>
  <c r="AB11" i="2" s="1"/>
  <c r="AA11" i="2" s="1"/>
  <c r="AC12" i="2"/>
  <c r="AB12" i="2" s="1"/>
  <c r="AA12" i="2" s="1"/>
  <c r="AC13" i="2"/>
  <c r="AB13" i="2" s="1"/>
  <c r="AA13" i="2" s="1"/>
  <c r="AC14" i="2"/>
  <c r="AB14" i="2" s="1"/>
  <c r="AA14" i="2" s="1"/>
  <c r="AC15" i="2"/>
  <c r="AB15" i="2" s="1"/>
  <c r="AA15" i="2" s="1"/>
  <c r="AC16" i="2"/>
  <c r="AB16" i="2" s="1"/>
  <c r="AA16" i="2" s="1"/>
  <c r="AC17" i="2"/>
  <c r="AB17" i="2" s="1"/>
  <c r="AA17" i="2" s="1"/>
  <c r="AC18" i="2"/>
  <c r="AB18" i="2" s="1"/>
  <c r="AA18" i="2" s="1"/>
  <c r="AC19" i="2"/>
  <c r="AB19" i="2" s="1"/>
  <c r="AA19" i="2" s="1"/>
  <c r="AC20" i="2"/>
  <c r="AB20" i="2" s="1"/>
  <c r="AA20" i="2" s="1"/>
  <c r="AC21" i="2"/>
  <c r="AB21" i="2" s="1"/>
  <c r="AA21" i="2" s="1"/>
  <c r="AC22" i="2"/>
  <c r="AB22" i="2" s="1"/>
  <c r="AA22" i="2" s="1"/>
  <c r="AC23" i="2"/>
  <c r="AB23" i="2" s="1"/>
  <c r="AA23" i="2" s="1"/>
  <c r="AC24" i="2"/>
  <c r="AB24" i="2" s="1"/>
  <c r="AA24" i="2" s="1"/>
  <c r="AC25" i="2"/>
  <c r="AB25" i="2" s="1"/>
  <c r="AA25" i="2" s="1"/>
  <c r="AC26" i="2"/>
  <c r="AB26" i="2" s="1"/>
  <c r="AA26" i="2" s="1"/>
  <c r="AC27" i="2"/>
  <c r="AB27" i="2" s="1"/>
  <c r="AA27" i="2" s="1"/>
  <c r="AC28" i="2"/>
  <c r="AB28" i="2" s="1"/>
  <c r="AA28" i="2" s="1"/>
  <c r="AC29" i="2"/>
  <c r="AB29" i="2" s="1"/>
  <c r="AA29" i="2" s="1"/>
  <c r="AC30" i="2"/>
  <c r="AB30" i="2" s="1"/>
  <c r="AA30" i="2" s="1"/>
  <c r="AC31" i="2"/>
  <c r="AB31" i="2" s="1"/>
  <c r="AA31" i="2" s="1"/>
  <c r="AC32" i="2"/>
  <c r="AB32" i="2" s="1"/>
  <c r="AA32" i="2" s="1"/>
  <c r="AC33" i="2"/>
  <c r="AB33" i="2" s="1"/>
  <c r="AA33" i="2" s="1"/>
  <c r="AC34" i="2"/>
  <c r="AB34" i="2" s="1"/>
  <c r="AA34" i="2" s="1"/>
  <c r="AC35" i="2"/>
  <c r="AB35" i="2" s="1"/>
  <c r="AA35" i="2" s="1"/>
  <c r="AC36" i="2"/>
  <c r="AB36" i="2" s="1"/>
  <c r="AA36" i="2" s="1"/>
  <c r="AC37" i="2"/>
  <c r="AB37" i="2" s="1"/>
  <c r="AA37" i="2" s="1"/>
  <c r="AC38" i="2"/>
  <c r="AB38" i="2" s="1"/>
  <c r="AA38" i="2" s="1"/>
  <c r="AC39" i="2"/>
  <c r="AB39" i="2" s="1"/>
  <c r="AA39" i="2" s="1"/>
  <c r="AC40" i="2"/>
  <c r="AB40" i="2" s="1"/>
  <c r="AA40" i="2" s="1"/>
  <c r="AC41" i="2"/>
  <c r="AB41" i="2" s="1"/>
  <c r="AA41" i="2" s="1"/>
  <c r="AC42" i="2"/>
  <c r="AB42" i="2" s="1"/>
  <c r="AA42" i="2" s="1"/>
  <c r="AC43" i="2"/>
  <c r="AB43" i="2" s="1"/>
  <c r="AA43" i="2" s="1"/>
  <c r="AC44" i="2"/>
  <c r="AB44" i="2" s="1"/>
  <c r="AA44" i="2" s="1"/>
  <c r="AC45" i="2"/>
  <c r="AB45" i="2" s="1"/>
  <c r="AA45" i="2" s="1"/>
  <c r="AC46" i="2"/>
  <c r="AB46" i="2" s="1"/>
  <c r="AA46" i="2" s="1"/>
  <c r="AC47" i="2"/>
  <c r="AB47" i="2" s="1"/>
  <c r="AA47" i="2" s="1"/>
  <c r="AC48" i="2"/>
  <c r="AB48" i="2" s="1"/>
  <c r="AA48" i="2" s="1"/>
  <c r="AC49" i="2"/>
  <c r="AB49" i="2" s="1"/>
  <c r="AA49" i="2" s="1"/>
  <c r="AC50" i="2"/>
  <c r="AB50" i="2" s="1"/>
  <c r="AA50" i="2" s="1"/>
  <c r="AC51" i="2"/>
  <c r="AB51" i="2" s="1"/>
  <c r="AA51" i="2" s="1"/>
  <c r="AC52" i="2"/>
  <c r="AB52" i="2" s="1"/>
  <c r="AA52" i="2" s="1"/>
  <c r="AC53" i="2"/>
  <c r="AB53" i="2" s="1"/>
  <c r="AA53" i="2" s="1"/>
  <c r="AC54" i="2"/>
  <c r="AB54" i="2" s="1"/>
  <c r="AA54" i="2" s="1"/>
  <c r="AC55" i="2"/>
  <c r="AB55" i="2" s="1"/>
  <c r="AA55" i="2" s="1"/>
  <c r="AC56" i="2"/>
  <c r="AB56" i="2" s="1"/>
  <c r="AA56" i="2" s="1"/>
  <c r="AC57" i="2"/>
  <c r="AB57" i="2" s="1"/>
  <c r="AA57" i="2" s="1"/>
  <c r="AC58" i="2"/>
  <c r="AB58" i="2" s="1"/>
  <c r="AA58" i="2" s="1"/>
  <c r="AC59" i="2"/>
  <c r="AB59" i="2" s="1"/>
  <c r="AA59" i="2" s="1"/>
  <c r="AC60" i="2"/>
  <c r="AB60" i="2" s="1"/>
  <c r="AA60" i="2" s="1"/>
  <c r="Q60" i="2"/>
  <c r="P60" i="2" s="1"/>
  <c r="O60" i="2" s="1"/>
  <c r="Q59" i="2"/>
  <c r="P59" i="2" s="1"/>
  <c r="O59" i="2" s="1"/>
  <c r="Q58" i="2"/>
  <c r="P58" i="2" s="1"/>
  <c r="O58" i="2" s="1"/>
  <c r="Q57" i="2"/>
  <c r="P57" i="2" s="1"/>
  <c r="O57" i="2" s="1"/>
  <c r="Q56" i="2"/>
  <c r="P56" i="2" s="1"/>
  <c r="O56" i="2" s="1"/>
  <c r="Q55" i="2"/>
  <c r="P55" i="2" s="1"/>
  <c r="O55" i="2" s="1"/>
  <c r="Q54" i="2"/>
  <c r="P54" i="2" s="1"/>
  <c r="O54" i="2" s="1"/>
  <c r="Q53" i="2"/>
  <c r="P53" i="2" s="1"/>
  <c r="O53" i="2" s="1"/>
  <c r="Q52" i="2"/>
  <c r="P52" i="2" s="1"/>
  <c r="O52" i="2" s="1"/>
  <c r="Q51" i="2"/>
  <c r="P51" i="2" s="1"/>
  <c r="O51" i="2" s="1"/>
  <c r="Q50" i="2"/>
  <c r="P50" i="2" s="1"/>
  <c r="O50" i="2" s="1"/>
  <c r="Q49" i="2"/>
  <c r="P49" i="2" s="1"/>
  <c r="O49" i="2" s="1"/>
  <c r="Q48" i="2"/>
  <c r="P48" i="2" s="1"/>
  <c r="O48" i="2" s="1"/>
  <c r="Q47" i="2"/>
  <c r="P47" i="2" s="1"/>
  <c r="O47" i="2" s="1"/>
  <c r="Q46" i="2"/>
  <c r="P46" i="2" s="1"/>
  <c r="O46" i="2" s="1"/>
  <c r="Q45" i="2"/>
  <c r="P45" i="2" s="1"/>
  <c r="O45" i="2" s="1"/>
  <c r="Q44" i="2"/>
  <c r="P44" i="2" s="1"/>
  <c r="O44" i="2" s="1"/>
  <c r="Q43" i="2"/>
  <c r="P43" i="2" s="1"/>
  <c r="O43" i="2" s="1"/>
  <c r="Q42" i="2"/>
  <c r="P42" i="2" s="1"/>
  <c r="O42" i="2" s="1"/>
  <c r="Q41" i="2"/>
  <c r="P41" i="2" s="1"/>
  <c r="O41" i="2" s="1"/>
  <c r="Q40" i="2"/>
  <c r="P40" i="2" s="1"/>
  <c r="O40" i="2" s="1"/>
  <c r="Q39" i="2"/>
  <c r="P39" i="2" s="1"/>
  <c r="O39" i="2" s="1"/>
  <c r="Q38" i="2"/>
  <c r="P38" i="2" s="1"/>
  <c r="O38" i="2" s="1"/>
  <c r="Q37" i="2"/>
  <c r="P37" i="2" s="1"/>
  <c r="O37" i="2" s="1"/>
  <c r="Q36" i="2"/>
  <c r="P36" i="2" s="1"/>
  <c r="O36" i="2" s="1"/>
  <c r="Q35" i="2"/>
  <c r="P35" i="2" s="1"/>
  <c r="O35" i="2" s="1"/>
  <c r="Q34" i="2"/>
  <c r="P34" i="2" s="1"/>
  <c r="O34" i="2" s="1"/>
  <c r="Q33" i="2"/>
  <c r="P33" i="2" s="1"/>
  <c r="O33" i="2" s="1"/>
  <c r="Q32" i="2"/>
  <c r="P32" i="2" s="1"/>
  <c r="O32" i="2" s="1"/>
  <c r="Q31" i="2"/>
  <c r="P31" i="2" s="1"/>
  <c r="O31" i="2" s="1"/>
  <c r="Q30" i="2"/>
  <c r="P30" i="2" s="1"/>
  <c r="O30" i="2" s="1"/>
  <c r="Q29" i="2"/>
  <c r="P29" i="2" s="1"/>
  <c r="O29" i="2" s="1"/>
  <c r="Q28" i="2"/>
  <c r="P28" i="2" s="1"/>
  <c r="O28" i="2" s="1"/>
  <c r="Q27" i="2"/>
  <c r="P27" i="2" s="1"/>
  <c r="O27" i="2" s="1"/>
  <c r="Q26" i="2"/>
  <c r="P26" i="2" s="1"/>
  <c r="O26" i="2" s="1"/>
  <c r="Q25" i="2"/>
  <c r="P25" i="2" s="1"/>
  <c r="O25" i="2" s="1"/>
  <c r="Q24" i="2"/>
  <c r="P24" i="2" s="1"/>
  <c r="O24" i="2" s="1"/>
  <c r="Q23" i="2"/>
  <c r="P23" i="2" s="1"/>
  <c r="O23" i="2" s="1"/>
  <c r="Q22" i="2"/>
  <c r="P22" i="2" s="1"/>
  <c r="O22" i="2" s="1"/>
  <c r="Q21" i="2"/>
  <c r="P21" i="2" s="1"/>
  <c r="O21" i="2" s="1"/>
  <c r="Q20" i="2"/>
  <c r="P20" i="2" s="1"/>
  <c r="O20" i="2" s="1"/>
  <c r="Q19" i="2"/>
  <c r="P19" i="2" s="1"/>
  <c r="O19" i="2" s="1"/>
  <c r="Q18" i="2"/>
  <c r="P18" i="2" s="1"/>
  <c r="O18" i="2" s="1"/>
  <c r="Q17" i="2"/>
  <c r="P17" i="2" s="1"/>
  <c r="O17" i="2" s="1"/>
  <c r="Q16" i="2"/>
  <c r="P16" i="2" s="1"/>
  <c r="O16" i="2" s="1"/>
  <c r="Q15" i="2"/>
  <c r="P15" i="2" s="1"/>
  <c r="O15" i="2" s="1"/>
  <c r="Q14" i="2"/>
  <c r="P14" i="2" s="1"/>
  <c r="O14" i="2" s="1"/>
  <c r="Q13" i="2"/>
  <c r="P13" i="2" s="1"/>
  <c r="O13" i="2" s="1"/>
  <c r="Q12" i="2"/>
  <c r="P12" i="2" s="1"/>
  <c r="O12" i="2" s="1"/>
  <c r="Q11" i="2"/>
  <c r="P11" i="2" s="1"/>
  <c r="O11" i="2" s="1"/>
  <c r="Q10" i="2"/>
  <c r="P10" i="2" s="1"/>
  <c r="O10" i="2" s="1"/>
  <c r="W60" i="2"/>
  <c r="V60" i="2" s="1"/>
  <c r="U60" i="2" s="1"/>
  <c r="W59" i="2"/>
  <c r="V59" i="2" s="1"/>
  <c r="U59" i="2" s="1"/>
  <c r="W58" i="2"/>
  <c r="V58" i="2" s="1"/>
  <c r="U58" i="2" s="1"/>
  <c r="W57" i="2"/>
  <c r="V57" i="2" s="1"/>
  <c r="U57" i="2" s="1"/>
  <c r="W56" i="2"/>
  <c r="V56" i="2" s="1"/>
  <c r="U56" i="2" s="1"/>
  <c r="W55" i="2"/>
  <c r="V55" i="2" s="1"/>
  <c r="U55" i="2" s="1"/>
  <c r="W54" i="2"/>
  <c r="V54" i="2" s="1"/>
  <c r="U54" i="2" s="1"/>
  <c r="W53" i="2"/>
  <c r="V53" i="2" s="1"/>
  <c r="U53" i="2" s="1"/>
  <c r="W52" i="2"/>
  <c r="V52" i="2" s="1"/>
  <c r="U52" i="2" s="1"/>
  <c r="W51" i="2"/>
  <c r="V51" i="2" s="1"/>
  <c r="U51" i="2" s="1"/>
  <c r="W50" i="2"/>
  <c r="V50" i="2" s="1"/>
  <c r="U50" i="2" s="1"/>
  <c r="W49" i="2"/>
  <c r="V49" i="2" s="1"/>
  <c r="U49" i="2" s="1"/>
  <c r="W48" i="2"/>
  <c r="V48" i="2" s="1"/>
  <c r="U48" i="2" s="1"/>
  <c r="W47" i="2"/>
  <c r="V47" i="2" s="1"/>
  <c r="U47" i="2" s="1"/>
  <c r="W46" i="2"/>
  <c r="V46" i="2" s="1"/>
  <c r="U46" i="2" s="1"/>
  <c r="W45" i="2"/>
  <c r="V45" i="2" s="1"/>
  <c r="U45" i="2" s="1"/>
  <c r="W44" i="2"/>
  <c r="V44" i="2" s="1"/>
  <c r="U44" i="2" s="1"/>
  <c r="W43" i="2"/>
  <c r="V43" i="2" s="1"/>
  <c r="U43" i="2" s="1"/>
  <c r="W42" i="2"/>
  <c r="V42" i="2" s="1"/>
  <c r="U42" i="2" s="1"/>
  <c r="W41" i="2"/>
  <c r="V41" i="2" s="1"/>
  <c r="U41" i="2" s="1"/>
  <c r="W40" i="2"/>
  <c r="V40" i="2" s="1"/>
  <c r="U40" i="2" s="1"/>
  <c r="W39" i="2"/>
  <c r="V39" i="2" s="1"/>
  <c r="U39" i="2" s="1"/>
  <c r="W38" i="2"/>
  <c r="V38" i="2" s="1"/>
  <c r="U38" i="2" s="1"/>
  <c r="W37" i="2"/>
  <c r="V37" i="2" s="1"/>
  <c r="U37" i="2" s="1"/>
  <c r="W36" i="2"/>
  <c r="V36" i="2" s="1"/>
  <c r="U36" i="2" s="1"/>
  <c r="W35" i="2"/>
  <c r="V35" i="2" s="1"/>
  <c r="U35" i="2" s="1"/>
  <c r="W34" i="2"/>
  <c r="V34" i="2" s="1"/>
  <c r="U34" i="2" s="1"/>
  <c r="W33" i="2"/>
  <c r="V33" i="2" s="1"/>
  <c r="U33" i="2" s="1"/>
  <c r="W32" i="2"/>
  <c r="V32" i="2" s="1"/>
  <c r="U32" i="2" s="1"/>
  <c r="W31" i="2"/>
  <c r="V31" i="2" s="1"/>
  <c r="U31" i="2" s="1"/>
  <c r="W30" i="2"/>
  <c r="V30" i="2" s="1"/>
  <c r="U30" i="2" s="1"/>
  <c r="W29" i="2"/>
  <c r="V29" i="2" s="1"/>
  <c r="U29" i="2" s="1"/>
  <c r="W28" i="2"/>
  <c r="V28" i="2" s="1"/>
  <c r="U28" i="2" s="1"/>
  <c r="W27" i="2"/>
  <c r="V27" i="2" s="1"/>
  <c r="U27" i="2" s="1"/>
  <c r="W26" i="2"/>
  <c r="V26" i="2" s="1"/>
  <c r="U26" i="2" s="1"/>
  <c r="W25" i="2"/>
  <c r="V25" i="2" s="1"/>
  <c r="U25" i="2" s="1"/>
  <c r="W24" i="2"/>
  <c r="V24" i="2" s="1"/>
  <c r="U24" i="2" s="1"/>
  <c r="W23" i="2"/>
  <c r="V23" i="2" s="1"/>
  <c r="U23" i="2" s="1"/>
  <c r="W22" i="2"/>
  <c r="V22" i="2" s="1"/>
  <c r="U22" i="2" s="1"/>
  <c r="W21" i="2"/>
  <c r="V21" i="2" s="1"/>
  <c r="U21" i="2" s="1"/>
  <c r="W20" i="2"/>
  <c r="V20" i="2" s="1"/>
  <c r="U20" i="2" s="1"/>
  <c r="W19" i="2"/>
  <c r="V19" i="2" s="1"/>
  <c r="U19" i="2" s="1"/>
  <c r="W18" i="2"/>
  <c r="V18" i="2" s="1"/>
  <c r="U18" i="2" s="1"/>
  <c r="W17" i="2"/>
  <c r="V17" i="2" s="1"/>
  <c r="U17" i="2" s="1"/>
  <c r="W16" i="2"/>
  <c r="V16" i="2" s="1"/>
  <c r="U16" i="2" s="1"/>
  <c r="W15" i="2"/>
  <c r="V15" i="2" s="1"/>
  <c r="U15" i="2" s="1"/>
  <c r="W14" i="2"/>
  <c r="V14" i="2" s="1"/>
  <c r="U14" i="2" s="1"/>
  <c r="W13" i="2"/>
  <c r="V13" i="2" s="1"/>
  <c r="U13" i="2" s="1"/>
  <c r="W12" i="2"/>
  <c r="V12" i="2" s="1"/>
  <c r="U12" i="2" s="1"/>
  <c r="W11" i="2"/>
  <c r="V11" i="2" s="1"/>
  <c r="U11" i="2" s="1"/>
  <c r="W10" i="2"/>
  <c r="V10" i="2" s="1"/>
  <c r="U10" i="2" s="1"/>
  <c r="D25" i="1"/>
  <c r="W139" i="1"/>
  <c r="G41" i="1"/>
  <c r="O42" i="1"/>
  <c r="O41" i="1"/>
  <c r="N41" i="1" s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138" i="1"/>
  <c r="W137" i="1"/>
  <c r="W136" i="1"/>
  <c r="W80" i="1"/>
  <c r="W79" i="1"/>
  <c r="W78" i="1"/>
  <c r="O65" i="1"/>
  <c r="N65" i="1" s="1"/>
  <c r="W21" i="1"/>
  <c r="W8" i="1"/>
  <c r="G15" i="1"/>
  <c r="G11" i="1"/>
  <c r="G9" i="1"/>
  <c r="N10" i="2" l="1"/>
  <c r="Q61" i="2"/>
  <c r="P61" i="2" s="1"/>
  <c r="O61" i="2" s="1"/>
  <c r="W61" i="2"/>
  <c r="AC61" i="2"/>
  <c r="AA61" i="2"/>
  <c r="AB61" i="2"/>
  <c r="N20" i="2"/>
  <c r="N32" i="2"/>
  <c r="N44" i="2"/>
  <c r="N56" i="2"/>
  <c r="N60" i="2"/>
  <c r="N48" i="2"/>
  <c r="N36" i="2"/>
  <c r="N24" i="2"/>
  <c r="N12" i="2"/>
  <c r="N59" i="2"/>
  <c r="N35" i="2"/>
  <c r="N23" i="2"/>
  <c r="N11" i="2"/>
  <c r="N45" i="2"/>
  <c r="N47" i="2"/>
  <c r="N49" i="2"/>
  <c r="N37" i="2"/>
  <c r="N25" i="2"/>
  <c r="N13" i="2"/>
  <c r="N19" i="2"/>
  <c r="N31" i="2"/>
  <c r="N43" i="2"/>
  <c r="N55" i="2"/>
  <c r="N58" i="2"/>
  <c r="N46" i="2"/>
  <c r="N34" i="2"/>
  <c r="N22" i="2"/>
  <c r="N57" i="2"/>
  <c r="N33" i="2"/>
  <c r="N21" i="2"/>
  <c r="N50" i="2"/>
  <c r="N38" i="2"/>
  <c r="N26" i="2"/>
  <c r="N14" i="2"/>
  <c r="N18" i="2"/>
  <c r="N30" i="2"/>
  <c r="N42" i="2"/>
  <c r="N54" i="2"/>
  <c r="N52" i="2"/>
  <c r="N40" i="2"/>
  <c r="N28" i="2"/>
  <c r="N16" i="2"/>
  <c r="N51" i="2"/>
  <c r="N39" i="2"/>
  <c r="N27" i="2"/>
  <c r="N15" i="2"/>
  <c r="N17" i="2"/>
  <c r="N29" i="2"/>
  <c r="N41" i="2"/>
  <c r="N53" i="2"/>
  <c r="V41" i="1"/>
  <c r="T41" i="1" s="1"/>
  <c r="G124" i="1"/>
  <c r="F124" i="1" s="1"/>
  <c r="D124" i="1" s="1"/>
  <c r="G123" i="1"/>
  <c r="F123" i="1" s="1"/>
  <c r="D123" i="1" s="1"/>
  <c r="G122" i="1"/>
  <c r="F122" i="1" s="1"/>
  <c r="D122" i="1" s="1"/>
  <c r="G121" i="1"/>
  <c r="F121" i="1" s="1"/>
  <c r="D121" i="1" s="1"/>
  <c r="O121" i="1"/>
  <c r="N121" i="1" s="1"/>
  <c r="L121" i="1" s="1"/>
  <c r="O122" i="1"/>
  <c r="N122" i="1" s="1"/>
  <c r="L122" i="1" s="1"/>
  <c r="O123" i="1"/>
  <c r="N123" i="1" s="1"/>
  <c r="L123" i="1" s="1"/>
  <c r="O124" i="1"/>
  <c r="N124" i="1" s="1"/>
  <c r="L124" i="1" s="1"/>
  <c r="W121" i="1"/>
  <c r="V121" i="1" s="1"/>
  <c r="T121" i="1" s="1"/>
  <c r="W122" i="1"/>
  <c r="V122" i="1" s="1"/>
  <c r="T122" i="1" s="1"/>
  <c r="W123" i="1"/>
  <c r="V123" i="1" s="1"/>
  <c r="T123" i="1" s="1"/>
  <c r="W124" i="1"/>
  <c r="V124" i="1" s="1"/>
  <c r="T124" i="1" s="1"/>
  <c r="W152" i="1"/>
  <c r="V152" i="1" s="1"/>
  <c r="T152" i="1" s="1"/>
  <c r="W151" i="1"/>
  <c r="V151" i="1" s="1"/>
  <c r="T151" i="1" s="1"/>
  <c r="W150" i="1"/>
  <c r="V150" i="1" s="1"/>
  <c r="T150" i="1" s="1"/>
  <c r="O152" i="1"/>
  <c r="N152" i="1" s="1"/>
  <c r="L152" i="1" s="1"/>
  <c r="G152" i="1"/>
  <c r="F152" i="1" s="1"/>
  <c r="D152" i="1" s="1"/>
  <c r="O151" i="1"/>
  <c r="N151" i="1" s="1"/>
  <c r="L151" i="1" s="1"/>
  <c r="G151" i="1"/>
  <c r="F151" i="1" s="1"/>
  <c r="D151" i="1" s="1"/>
  <c r="O150" i="1"/>
  <c r="N150" i="1" s="1"/>
  <c r="L150" i="1" s="1"/>
  <c r="G150" i="1"/>
  <c r="F150" i="1" s="1"/>
  <c r="D150" i="1" s="1"/>
  <c r="V139" i="1"/>
  <c r="T139" i="1" s="1"/>
  <c r="C139" i="1" s="1"/>
  <c r="V138" i="1"/>
  <c r="T138" i="1" s="1"/>
  <c r="V137" i="1"/>
  <c r="T137" i="1" s="1"/>
  <c r="C137" i="1" s="1"/>
  <c r="V136" i="1"/>
  <c r="T136" i="1" s="1"/>
  <c r="G120" i="1"/>
  <c r="F120" i="1" s="1"/>
  <c r="D120" i="1" s="1"/>
  <c r="G119" i="1"/>
  <c r="F119" i="1" s="1"/>
  <c r="D119" i="1" s="1"/>
  <c r="G118" i="1"/>
  <c r="F118" i="1" s="1"/>
  <c r="D118" i="1" s="1"/>
  <c r="G117" i="1"/>
  <c r="F117" i="1" s="1"/>
  <c r="D117" i="1" s="1"/>
  <c r="G116" i="1"/>
  <c r="F116" i="1" s="1"/>
  <c r="D116" i="1" s="1"/>
  <c r="G115" i="1"/>
  <c r="F115" i="1" s="1"/>
  <c r="D115" i="1" s="1"/>
  <c r="G114" i="1"/>
  <c r="F114" i="1" s="1"/>
  <c r="D114" i="1" s="1"/>
  <c r="G113" i="1"/>
  <c r="F113" i="1" s="1"/>
  <c r="D113" i="1" s="1"/>
  <c r="G112" i="1"/>
  <c r="F112" i="1" s="1"/>
  <c r="D112" i="1" s="1"/>
  <c r="G111" i="1"/>
  <c r="F111" i="1" s="1"/>
  <c r="D111" i="1" s="1"/>
  <c r="G110" i="1"/>
  <c r="F110" i="1" s="1"/>
  <c r="D110" i="1" s="1"/>
  <c r="G109" i="1"/>
  <c r="F109" i="1" s="1"/>
  <c r="D109" i="1" s="1"/>
  <c r="G108" i="1"/>
  <c r="F108" i="1" s="1"/>
  <c r="D108" i="1" s="1"/>
  <c r="G107" i="1"/>
  <c r="F107" i="1" s="1"/>
  <c r="D107" i="1" s="1"/>
  <c r="G106" i="1"/>
  <c r="F106" i="1" s="1"/>
  <c r="D106" i="1" s="1"/>
  <c r="G105" i="1"/>
  <c r="F105" i="1" s="1"/>
  <c r="D105" i="1" s="1"/>
  <c r="G104" i="1"/>
  <c r="F104" i="1" s="1"/>
  <c r="D104" i="1" s="1"/>
  <c r="G103" i="1"/>
  <c r="F103" i="1" s="1"/>
  <c r="D103" i="1" s="1"/>
  <c r="G102" i="1"/>
  <c r="F102" i="1" s="1"/>
  <c r="D102" i="1" s="1"/>
  <c r="G101" i="1"/>
  <c r="F101" i="1" s="1"/>
  <c r="D101" i="1" s="1"/>
  <c r="G100" i="1"/>
  <c r="F100" i="1" s="1"/>
  <c r="D100" i="1" s="1"/>
  <c r="G99" i="1"/>
  <c r="F99" i="1" s="1"/>
  <c r="D99" i="1" s="1"/>
  <c r="G98" i="1"/>
  <c r="F98" i="1" s="1"/>
  <c r="D98" i="1" s="1"/>
  <c r="G97" i="1"/>
  <c r="F97" i="1" s="1"/>
  <c r="D97" i="1" s="1"/>
  <c r="G96" i="1"/>
  <c r="F96" i="1" s="1"/>
  <c r="D96" i="1" s="1"/>
  <c r="G95" i="1"/>
  <c r="F95" i="1" s="1"/>
  <c r="D95" i="1" s="1"/>
  <c r="G94" i="1"/>
  <c r="F94" i="1" s="1"/>
  <c r="D94" i="1" s="1"/>
  <c r="G93" i="1"/>
  <c r="F93" i="1" s="1"/>
  <c r="D93" i="1" s="1"/>
  <c r="G92" i="1"/>
  <c r="F92" i="1" s="1"/>
  <c r="D92" i="1" s="1"/>
  <c r="G91" i="1"/>
  <c r="F91" i="1" s="1"/>
  <c r="D91" i="1" s="1"/>
  <c r="G90" i="1"/>
  <c r="F90" i="1" s="1"/>
  <c r="D90" i="1" s="1"/>
  <c r="G89" i="1"/>
  <c r="F89" i="1" s="1"/>
  <c r="D89" i="1" s="1"/>
  <c r="G88" i="1"/>
  <c r="F88" i="1" s="1"/>
  <c r="D88" i="1" s="1"/>
  <c r="G87" i="1"/>
  <c r="F87" i="1" s="1"/>
  <c r="D87" i="1" s="1"/>
  <c r="G86" i="1"/>
  <c r="F86" i="1" s="1"/>
  <c r="D86" i="1" s="1"/>
  <c r="G85" i="1"/>
  <c r="F85" i="1" s="1"/>
  <c r="D85" i="1" s="1"/>
  <c r="G84" i="1"/>
  <c r="F84" i="1" s="1"/>
  <c r="D84" i="1" s="1"/>
  <c r="G83" i="1"/>
  <c r="F83" i="1" s="1"/>
  <c r="D83" i="1" s="1"/>
  <c r="G82" i="1"/>
  <c r="F82" i="1" s="1"/>
  <c r="D82" i="1" s="1"/>
  <c r="G81" i="1"/>
  <c r="F81" i="1" s="1"/>
  <c r="D81" i="1" s="1"/>
  <c r="G80" i="1"/>
  <c r="F80" i="1" s="1"/>
  <c r="D80" i="1" s="1"/>
  <c r="G79" i="1"/>
  <c r="F79" i="1" s="1"/>
  <c r="D79" i="1" s="1"/>
  <c r="G78" i="1"/>
  <c r="F78" i="1" s="1"/>
  <c r="D78" i="1" s="1"/>
  <c r="G77" i="1"/>
  <c r="F77" i="1" s="1"/>
  <c r="D77" i="1" s="1"/>
  <c r="G76" i="1"/>
  <c r="F76" i="1" s="1"/>
  <c r="D76" i="1" s="1"/>
  <c r="G75" i="1"/>
  <c r="F75" i="1" s="1"/>
  <c r="D75" i="1" s="1"/>
  <c r="G74" i="1"/>
  <c r="F74" i="1" s="1"/>
  <c r="D74" i="1" s="1"/>
  <c r="G73" i="1"/>
  <c r="F73" i="1" s="1"/>
  <c r="D73" i="1" s="1"/>
  <c r="G72" i="1"/>
  <c r="F72" i="1" s="1"/>
  <c r="D72" i="1" s="1"/>
  <c r="G71" i="1"/>
  <c r="F71" i="1" s="1"/>
  <c r="D71" i="1" s="1"/>
  <c r="G70" i="1"/>
  <c r="F70" i="1" s="1"/>
  <c r="D70" i="1" s="1"/>
  <c r="G69" i="1"/>
  <c r="F69" i="1" s="1"/>
  <c r="D69" i="1" s="1"/>
  <c r="G68" i="1"/>
  <c r="F68" i="1" s="1"/>
  <c r="D68" i="1" s="1"/>
  <c r="G67" i="1"/>
  <c r="F67" i="1" s="1"/>
  <c r="D67" i="1" s="1"/>
  <c r="G66" i="1"/>
  <c r="F66" i="1" s="1"/>
  <c r="D66" i="1" s="1"/>
  <c r="G65" i="1"/>
  <c r="F65" i="1" s="1"/>
  <c r="D65" i="1" s="1"/>
  <c r="O120" i="1"/>
  <c r="N120" i="1" s="1"/>
  <c r="L120" i="1" s="1"/>
  <c r="O119" i="1"/>
  <c r="N119" i="1" s="1"/>
  <c r="L119" i="1" s="1"/>
  <c r="O118" i="1"/>
  <c r="N118" i="1" s="1"/>
  <c r="L118" i="1" s="1"/>
  <c r="O117" i="1"/>
  <c r="N117" i="1" s="1"/>
  <c r="L117" i="1" s="1"/>
  <c r="O116" i="1"/>
  <c r="N116" i="1" s="1"/>
  <c r="L116" i="1" s="1"/>
  <c r="O115" i="1"/>
  <c r="N115" i="1" s="1"/>
  <c r="L115" i="1" s="1"/>
  <c r="O114" i="1"/>
  <c r="N114" i="1" s="1"/>
  <c r="L114" i="1" s="1"/>
  <c r="O113" i="1"/>
  <c r="N113" i="1" s="1"/>
  <c r="L113" i="1" s="1"/>
  <c r="O112" i="1"/>
  <c r="N112" i="1" s="1"/>
  <c r="L112" i="1" s="1"/>
  <c r="O111" i="1"/>
  <c r="N111" i="1" s="1"/>
  <c r="L111" i="1" s="1"/>
  <c r="O110" i="1"/>
  <c r="N110" i="1" s="1"/>
  <c r="L110" i="1" s="1"/>
  <c r="O109" i="1"/>
  <c r="N109" i="1" s="1"/>
  <c r="L109" i="1" s="1"/>
  <c r="O108" i="1"/>
  <c r="N108" i="1" s="1"/>
  <c r="L108" i="1" s="1"/>
  <c r="O107" i="1"/>
  <c r="N107" i="1" s="1"/>
  <c r="L107" i="1" s="1"/>
  <c r="O106" i="1"/>
  <c r="N106" i="1" s="1"/>
  <c r="L106" i="1" s="1"/>
  <c r="O105" i="1"/>
  <c r="N105" i="1" s="1"/>
  <c r="L105" i="1" s="1"/>
  <c r="O104" i="1"/>
  <c r="N104" i="1" s="1"/>
  <c r="L104" i="1" s="1"/>
  <c r="O103" i="1"/>
  <c r="N103" i="1" s="1"/>
  <c r="L103" i="1" s="1"/>
  <c r="O102" i="1"/>
  <c r="N102" i="1" s="1"/>
  <c r="L102" i="1" s="1"/>
  <c r="O101" i="1"/>
  <c r="N101" i="1" s="1"/>
  <c r="L101" i="1" s="1"/>
  <c r="O100" i="1"/>
  <c r="N100" i="1" s="1"/>
  <c r="L100" i="1" s="1"/>
  <c r="O99" i="1"/>
  <c r="N99" i="1" s="1"/>
  <c r="L99" i="1" s="1"/>
  <c r="O98" i="1"/>
  <c r="N98" i="1" s="1"/>
  <c r="L98" i="1" s="1"/>
  <c r="O97" i="1"/>
  <c r="N97" i="1" s="1"/>
  <c r="L97" i="1" s="1"/>
  <c r="O96" i="1"/>
  <c r="N96" i="1" s="1"/>
  <c r="L96" i="1" s="1"/>
  <c r="O95" i="1"/>
  <c r="N95" i="1" s="1"/>
  <c r="L95" i="1" s="1"/>
  <c r="O94" i="1"/>
  <c r="N94" i="1" s="1"/>
  <c r="L94" i="1" s="1"/>
  <c r="O93" i="1"/>
  <c r="N93" i="1" s="1"/>
  <c r="L93" i="1" s="1"/>
  <c r="O92" i="1"/>
  <c r="N92" i="1" s="1"/>
  <c r="L92" i="1" s="1"/>
  <c r="O91" i="1"/>
  <c r="N91" i="1" s="1"/>
  <c r="L91" i="1" s="1"/>
  <c r="O90" i="1"/>
  <c r="N90" i="1" s="1"/>
  <c r="L90" i="1" s="1"/>
  <c r="O89" i="1"/>
  <c r="N89" i="1" s="1"/>
  <c r="L89" i="1" s="1"/>
  <c r="O88" i="1"/>
  <c r="N88" i="1" s="1"/>
  <c r="L88" i="1" s="1"/>
  <c r="O87" i="1"/>
  <c r="N87" i="1" s="1"/>
  <c r="L87" i="1" s="1"/>
  <c r="O86" i="1"/>
  <c r="N86" i="1" s="1"/>
  <c r="L86" i="1" s="1"/>
  <c r="O85" i="1"/>
  <c r="N85" i="1" s="1"/>
  <c r="L85" i="1" s="1"/>
  <c r="O84" i="1"/>
  <c r="N84" i="1" s="1"/>
  <c r="L84" i="1" s="1"/>
  <c r="O83" i="1"/>
  <c r="N83" i="1" s="1"/>
  <c r="L83" i="1" s="1"/>
  <c r="O82" i="1"/>
  <c r="N82" i="1" s="1"/>
  <c r="L82" i="1" s="1"/>
  <c r="O81" i="1"/>
  <c r="N81" i="1" s="1"/>
  <c r="L81" i="1" s="1"/>
  <c r="O80" i="1"/>
  <c r="N80" i="1" s="1"/>
  <c r="L80" i="1" s="1"/>
  <c r="O79" i="1"/>
  <c r="N79" i="1" s="1"/>
  <c r="L79" i="1" s="1"/>
  <c r="O78" i="1"/>
  <c r="N78" i="1" s="1"/>
  <c r="L78" i="1" s="1"/>
  <c r="O77" i="1"/>
  <c r="N77" i="1" s="1"/>
  <c r="L77" i="1" s="1"/>
  <c r="O76" i="1"/>
  <c r="N76" i="1" s="1"/>
  <c r="L76" i="1" s="1"/>
  <c r="O75" i="1"/>
  <c r="N75" i="1" s="1"/>
  <c r="L75" i="1" s="1"/>
  <c r="O74" i="1"/>
  <c r="N74" i="1" s="1"/>
  <c r="L74" i="1" s="1"/>
  <c r="O73" i="1"/>
  <c r="N73" i="1" s="1"/>
  <c r="L73" i="1" s="1"/>
  <c r="O72" i="1"/>
  <c r="N72" i="1" s="1"/>
  <c r="L72" i="1" s="1"/>
  <c r="O71" i="1"/>
  <c r="N71" i="1" s="1"/>
  <c r="L71" i="1" s="1"/>
  <c r="O70" i="1"/>
  <c r="N70" i="1" s="1"/>
  <c r="L70" i="1" s="1"/>
  <c r="O69" i="1"/>
  <c r="N69" i="1" s="1"/>
  <c r="L69" i="1" s="1"/>
  <c r="O68" i="1"/>
  <c r="N68" i="1" s="1"/>
  <c r="L68" i="1" s="1"/>
  <c r="O67" i="1"/>
  <c r="N67" i="1" s="1"/>
  <c r="L67" i="1" s="1"/>
  <c r="O66" i="1"/>
  <c r="L65" i="1"/>
  <c r="W66" i="1"/>
  <c r="V66" i="1" s="1"/>
  <c r="T66" i="1" s="1"/>
  <c r="W67" i="1"/>
  <c r="V67" i="1" s="1"/>
  <c r="T67" i="1" s="1"/>
  <c r="W68" i="1"/>
  <c r="V68" i="1" s="1"/>
  <c r="T68" i="1" s="1"/>
  <c r="W69" i="1"/>
  <c r="V69" i="1" s="1"/>
  <c r="T69" i="1" s="1"/>
  <c r="W70" i="1"/>
  <c r="V70" i="1" s="1"/>
  <c r="T70" i="1" s="1"/>
  <c r="W71" i="1"/>
  <c r="V71" i="1" s="1"/>
  <c r="T71" i="1" s="1"/>
  <c r="W72" i="1"/>
  <c r="V72" i="1" s="1"/>
  <c r="T72" i="1" s="1"/>
  <c r="W73" i="1"/>
  <c r="V73" i="1" s="1"/>
  <c r="T73" i="1" s="1"/>
  <c r="W74" i="1"/>
  <c r="V74" i="1" s="1"/>
  <c r="T74" i="1" s="1"/>
  <c r="W75" i="1"/>
  <c r="V75" i="1" s="1"/>
  <c r="T75" i="1" s="1"/>
  <c r="W76" i="1"/>
  <c r="V76" i="1" s="1"/>
  <c r="T76" i="1" s="1"/>
  <c r="W77" i="1"/>
  <c r="V77" i="1" s="1"/>
  <c r="T77" i="1" s="1"/>
  <c r="V78" i="1"/>
  <c r="T78" i="1" s="1"/>
  <c r="V79" i="1"/>
  <c r="T79" i="1" s="1"/>
  <c r="V80" i="1"/>
  <c r="T80" i="1" s="1"/>
  <c r="W81" i="1"/>
  <c r="V81" i="1" s="1"/>
  <c r="T81" i="1" s="1"/>
  <c r="W82" i="1"/>
  <c r="V82" i="1" s="1"/>
  <c r="T82" i="1" s="1"/>
  <c r="W83" i="1"/>
  <c r="V83" i="1" s="1"/>
  <c r="T83" i="1" s="1"/>
  <c r="W84" i="1"/>
  <c r="V84" i="1" s="1"/>
  <c r="T84" i="1" s="1"/>
  <c r="W85" i="1"/>
  <c r="V85" i="1" s="1"/>
  <c r="T85" i="1" s="1"/>
  <c r="W86" i="1"/>
  <c r="V86" i="1" s="1"/>
  <c r="T86" i="1" s="1"/>
  <c r="W87" i="1"/>
  <c r="V87" i="1" s="1"/>
  <c r="T87" i="1" s="1"/>
  <c r="W88" i="1"/>
  <c r="V88" i="1" s="1"/>
  <c r="T88" i="1" s="1"/>
  <c r="W89" i="1"/>
  <c r="V89" i="1" s="1"/>
  <c r="T89" i="1" s="1"/>
  <c r="W90" i="1"/>
  <c r="V90" i="1" s="1"/>
  <c r="T90" i="1" s="1"/>
  <c r="W91" i="1"/>
  <c r="V91" i="1" s="1"/>
  <c r="T91" i="1" s="1"/>
  <c r="W92" i="1"/>
  <c r="V92" i="1" s="1"/>
  <c r="T92" i="1" s="1"/>
  <c r="W93" i="1"/>
  <c r="V93" i="1" s="1"/>
  <c r="T93" i="1" s="1"/>
  <c r="W94" i="1"/>
  <c r="V94" i="1" s="1"/>
  <c r="T94" i="1" s="1"/>
  <c r="W95" i="1"/>
  <c r="V95" i="1" s="1"/>
  <c r="T95" i="1" s="1"/>
  <c r="W96" i="1"/>
  <c r="V96" i="1" s="1"/>
  <c r="T96" i="1" s="1"/>
  <c r="W97" i="1"/>
  <c r="V97" i="1" s="1"/>
  <c r="T97" i="1" s="1"/>
  <c r="W98" i="1"/>
  <c r="V98" i="1" s="1"/>
  <c r="T98" i="1" s="1"/>
  <c r="W99" i="1"/>
  <c r="V99" i="1" s="1"/>
  <c r="T99" i="1" s="1"/>
  <c r="W100" i="1"/>
  <c r="V100" i="1" s="1"/>
  <c r="T100" i="1" s="1"/>
  <c r="W101" i="1"/>
  <c r="V101" i="1" s="1"/>
  <c r="T101" i="1" s="1"/>
  <c r="W102" i="1"/>
  <c r="V102" i="1" s="1"/>
  <c r="T102" i="1" s="1"/>
  <c r="W103" i="1"/>
  <c r="V103" i="1" s="1"/>
  <c r="T103" i="1" s="1"/>
  <c r="W104" i="1"/>
  <c r="V104" i="1" s="1"/>
  <c r="T104" i="1" s="1"/>
  <c r="W105" i="1"/>
  <c r="V105" i="1" s="1"/>
  <c r="T105" i="1" s="1"/>
  <c r="W106" i="1"/>
  <c r="V106" i="1" s="1"/>
  <c r="T106" i="1" s="1"/>
  <c r="W107" i="1"/>
  <c r="V107" i="1" s="1"/>
  <c r="T107" i="1" s="1"/>
  <c r="W108" i="1"/>
  <c r="V108" i="1" s="1"/>
  <c r="T108" i="1" s="1"/>
  <c r="W109" i="1"/>
  <c r="V109" i="1" s="1"/>
  <c r="T109" i="1" s="1"/>
  <c r="W110" i="1"/>
  <c r="V110" i="1" s="1"/>
  <c r="T110" i="1" s="1"/>
  <c r="W111" i="1"/>
  <c r="V111" i="1" s="1"/>
  <c r="T111" i="1" s="1"/>
  <c r="W112" i="1"/>
  <c r="V112" i="1" s="1"/>
  <c r="T112" i="1" s="1"/>
  <c r="W113" i="1"/>
  <c r="V113" i="1" s="1"/>
  <c r="T113" i="1" s="1"/>
  <c r="W114" i="1"/>
  <c r="V114" i="1" s="1"/>
  <c r="T114" i="1" s="1"/>
  <c r="W115" i="1"/>
  <c r="V115" i="1" s="1"/>
  <c r="T115" i="1" s="1"/>
  <c r="W116" i="1"/>
  <c r="V116" i="1" s="1"/>
  <c r="T116" i="1" s="1"/>
  <c r="W117" i="1"/>
  <c r="V117" i="1" s="1"/>
  <c r="T117" i="1" s="1"/>
  <c r="W118" i="1"/>
  <c r="V118" i="1" s="1"/>
  <c r="T118" i="1" s="1"/>
  <c r="W119" i="1"/>
  <c r="V119" i="1" s="1"/>
  <c r="T119" i="1" s="1"/>
  <c r="W120" i="1"/>
  <c r="V120" i="1" s="1"/>
  <c r="T120" i="1" s="1"/>
  <c r="W65" i="1"/>
  <c r="G42" i="1"/>
  <c r="F42" i="1" s="1"/>
  <c r="D42" i="1" s="1"/>
  <c r="G43" i="1"/>
  <c r="F43" i="1" s="1"/>
  <c r="D43" i="1" s="1"/>
  <c r="G44" i="1"/>
  <c r="F44" i="1" s="1"/>
  <c r="D44" i="1" s="1"/>
  <c r="G45" i="1"/>
  <c r="F45" i="1" s="1"/>
  <c r="D45" i="1" s="1"/>
  <c r="G46" i="1"/>
  <c r="F46" i="1" s="1"/>
  <c r="D46" i="1" s="1"/>
  <c r="G47" i="1"/>
  <c r="F47" i="1" s="1"/>
  <c r="D47" i="1" s="1"/>
  <c r="G48" i="1"/>
  <c r="F48" i="1" s="1"/>
  <c r="D48" i="1" s="1"/>
  <c r="G49" i="1"/>
  <c r="F49" i="1" s="1"/>
  <c r="D49" i="1" s="1"/>
  <c r="G50" i="1"/>
  <c r="F50" i="1" s="1"/>
  <c r="D50" i="1" s="1"/>
  <c r="G51" i="1"/>
  <c r="F51" i="1" s="1"/>
  <c r="D51" i="1" s="1"/>
  <c r="G52" i="1"/>
  <c r="F52" i="1" s="1"/>
  <c r="D52" i="1" s="1"/>
  <c r="G53" i="1"/>
  <c r="F53" i="1" s="1"/>
  <c r="D53" i="1" s="1"/>
  <c r="G54" i="1"/>
  <c r="F54" i="1" s="1"/>
  <c r="D54" i="1" s="1"/>
  <c r="F41" i="1"/>
  <c r="D41" i="1" s="1"/>
  <c r="L41" i="1"/>
  <c r="V54" i="1"/>
  <c r="T54" i="1" s="1"/>
  <c r="O54" i="1"/>
  <c r="N54" i="1" s="1"/>
  <c r="L54" i="1" s="1"/>
  <c r="V53" i="1"/>
  <c r="T53" i="1" s="1"/>
  <c r="O53" i="1"/>
  <c r="N53" i="1" s="1"/>
  <c r="L53" i="1" s="1"/>
  <c r="V52" i="1"/>
  <c r="T52" i="1" s="1"/>
  <c r="O52" i="1"/>
  <c r="N52" i="1" s="1"/>
  <c r="L52" i="1" s="1"/>
  <c r="V51" i="1"/>
  <c r="T51" i="1" s="1"/>
  <c r="O51" i="1"/>
  <c r="N51" i="1" s="1"/>
  <c r="L51" i="1" s="1"/>
  <c r="V50" i="1"/>
  <c r="T50" i="1" s="1"/>
  <c r="O50" i="1"/>
  <c r="N50" i="1" s="1"/>
  <c r="L50" i="1" s="1"/>
  <c r="V49" i="1"/>
  <c r="T49" i="1" s="1"/>
  <c r="O49" i="1"/>
  <c r="N49" i="1" s="1"/>
  <c r="L49" i="1" s="1"/>
  <c r="V48" i="1"/>
  <c r="T48" i="1" s="1"/>
  <c r="O48" i="1"/>
  <c r="N48" i="1" s="1"/>
  <c r="L48" i="1" s="1"/>
  <c r="V47" i="1"/>
  <c r="T47" i="1" s="1"/>
  <c r="O47" i="1"/>
  <c r="N47" i="1" s="1"/>
  <c r="L47" i="1" s="1"/>
  <c r="V46" i="1"/>
  <c r="T46" i="1" s="1"/>
  <c r="O46" i="1"/>
  <c r="N46" i="1" s="1"/>
  <c r="L46" i="1" s="1"/>
  <c r="V45" i="1"/>
  <c r="T45" i="1" s="1"/>
  <c r="O45" i="1"/>
  <c r="N45" i="1" s="1"/>
  <c r="L45" i="1" s="1"/>
  <c r="V44" i="1"/>
  <c r="T44" i="1" s="1"/>
  <c r="O44" i="1"/>
  <c r="N44" i="1" s="1"/>
  <c r="L44" i="1" s="1"/>
  <c r="V43" i="1"/>
  <c r="T43" i="1" s="1"/>
  <c r="O43" i="1"/>
  <c r="N43" i="1" s="1"/>
  <c r="L43" i="1" s="1"/>
  <c r="V42" i="1"/>
  <c r="T42" i="1" s="1"/>
  <c r="N42" i="1"/>
  <c r="L42" i="1" s="1"/>
  <c r="O7" i="1"/>
  <c r="N7" i="1" s="1"/>
  <c r="L7" i="1" s="1"/>
  <c r="W7" i="1"/>
  <c r="O8" i="1"/>
  <c r="N8" i="1" s="1"/>
  <c r="L8" i="1" s="1"/>
  <c r="V8" i="1"/>
  <c r="T8" i="1" s="1"/>
  <c r="O9" i="1"/>
  <c r="W9" i="1"/>
  <c r="V9" i="1" s="1"/>
  <c r="T9" i="1" s="1"/>
  <c r="O10" i="1"/>
  <c r="N10" i="1" s="1"/>
  <c r="L10" i="1" s="1"/>
  <c r="W10" i="1"/>
  <c r="V10" i="1" s="1"/>
  <c r="T10" i="1" s="1"/>
  <c r="O11" i="1"/>
  <c r="N11" i="1" s="1"/>
  <c r="L11" i="1" s="1"/>
  <c r="W11" i="1"/>
  <c r="V11" i="1" s="1"/>
  <c r="T11" i="1" s="1"/>
  <c r="O12" i="1"/>
  <c r="N12" i="1" s="1"/>
  <c r="L12" i="1" s="1"/>
  <c r="W12" i="1"/>
  <c r="V12" i="1" s="1"/>
  <c r="T12" i="1" s="1"/>
  <c r="O13" i="1"/>
  <c r="N13" i="1" s="1"/>
  <c r="L13" i="1" s="1"/>
  <c r="W13" i="1"/>
  <c r="V13" i="1" s="1"/>
  <c r="T13" i="1" s="1"/>
  <c r="O14" i="1"/>
  <c r="N14" i="1" s="1"/>
  <c r="L14" i="1" s="1"/>
  <c r="W14" i="1"/>
  <c r="V14" i="1" s="1"/>
  <c r="T14" i="1" s="1"/>
  <c r="O15" i="1"/>
  <c r="N15" i="1" s="1"/>
  <c r="L15" i="1" s="1"/>
  <c r="W15" i="1"/>
  <c r="V15" i="1" s="1"/>
  <c r="T15" i="1" s="1"/>
  <c r="O16" i="1"/>
  <c r="N16" i="1" s="1"/>
  <c r="L16" i="1" s="1"/>
  <c r="W16" i="1"/>
  <c r="V16" i="1" s="1"/>
  <c r="T16" i="1" s="1"/>
  <c r="O17" i="1"/>
  <c r="N17" i="1" s="1"/>
  <c r="L17" i="1" s="1"/>
  <c r="W17" i="1"/>
  <c r="V17" i="1" s="1"/>
  <c r="T17" i="1" s="1"/>
  <c r="O18" i="1"/>
  <c r="N18" i="1" s="1"/>
  <c r="L18" i="1" s="1"/>
  <c r="W18" i="1"/>
  <c r="V18" i="1" s="1"/>
  <c r="T18" i="1" s="1"/>
  <c r="O19" i="1"/>
  <c r="N19" i="1" s="1"/>
  <c r="L19" i="1" s="1"/>
  <c r="W19" i="1"/>
  <c r="V19" i="1" s="1"/>
  <c r="T19" i="1" s="1"/>
  <c r="O20" i="1"/>
  <c r="N20" i="1" s="1"/>
  <c r="L20" i="1" s="1"/>
  <c r="W20" i="1"/>
  <c r="V20" i="1" s="1"/>
  <c r="T20" i="1" s="1"/>
  <c r="O21" i="1"/>
  <c r="N21" i="1" s="1"/>
  <c r="L21" i="1" s="1"/>
  <c r="V21" i="1"/>
  <c r="T21" i="1" s="1"/>
  <c r="O22" i="1"/>
  <c r="N22" i="1" s="1"/>
  <c r="L22" i="1" s="1"/>
  <c r="W22" i="1"/>
  <c r="V22" i="1" s="1"/>
  <c r="T22" i="1" s="1"/>
  <c r="G22" i="1"/>
  <c r="F22" i="1" s="1"/>
  <c r="D22" i="1" s="1"/>
  <c r="G21" i="1"/>
  <c r="F21" i="1" s="1"/>
  <c r="D21" i="1" s="1"/>
  <c r="G20" i="1"/>
  <c r="F20" i="1" s="1"/>
  <c r="D20" i="1" s="1"/>
  <c r="G19" i="1"/>
  <c r="F19" i="1" s="1"/>
  <c r="D19" i="1" s="1"/>
  <c r="G18" i="1"/>
  <c r="F18" i="1" s="1"/>
  <c r="D18" i="1" s="1"/>
  <c r="G17" i="1"/>
  <c r="F17" i="1" s="1"/>
  <c r="D17" i="1" s="1"/>
  <c r="G13" i="1"/>
  <c r="F13" i="1" s="1"/>
  <c r="D13" i="1" s="1"/>
  <c r="G16" i="1"/>
  <c r="F16" i="1" s="1"/>
  <c r="D16" i="1" s="1"/>
  <c r="F15" i="1"/>
  <c r="D15" i="1" s="1"/>
  <c r="G14" i="1"/>
  <c r="F14" i="1" s="1"/>
  <c r="D14" i="1" s="1"/>
  <c r="G12" i="1"/>
  <c r="F12" i="1" s="1"/>
  <c r="D12" i="1" s="1"/>
  <c r="F11" i="1"/>
  <c r="D11" i="1" s="1"/>
  <c r="G10" i="1"/>
  <c r="F10" i="1" s="1"/>
  <c r="D10" i="1" s="1"/>
  <c r="F9" i="1"/>
  <c r="D9" i="1" s="1"/>
  <c r="G8" i="1"/>
  <c r="F8" i="1" s="1"/>
  <c r="D8" i="1" s="1"/>
  <c r="G7" i="1"/>
  <c r="F7" i="1" s="1"/>
  <c r="D7" i="1" s="1"/>
  <c r="N62" i="2" l="1"/>
  <c r="V61" i="2"/>
  <c r="U61" i="2" s="1"/>
  <c r="N61" i="2" s="1"/>
  <c r="N64" i="2"/>
  <c r="C8" i="1"/>
  <c r="C20" i="1"/>
  <c r="C151" i="1"/>
  <c r="C14" i="1"/>
  <c r="C152" i="1"/>
  <c r="C41" i="1"/>
  <c r="C12" i="1"/>
  <c r="C11" i="1"/>
  <c r="C19" i="1"/>
  <c r="C13" i="1"/>
  <c r="C18" i="1"/>
  <c r="C22" i="1"/>
  <c r="C10" i="1"/>
  <c r="C17" i="1"/>
  <c r="C16" i="1"/>
  <c r="C21" i="1"/>
  <c r="C15" i="1"/>
  <c r="C122" i="1"/>
  <c r="C150" i="1"/>
  <c r="C138" i="1"/>
  <c r="N9" i="1"/>
  <c r="L9" i="1" s="1"/>
  <c r="C9" i="1" s="1"/>
  <c r="D23" i="1" a="1"/>
  <c r="D23" i="1" s="1"/>
  <c r="D24" i="1" s="1"/>
  <c r="C120" i="1"/>
  <c r="C121" i="1"/>
  <c r="C123" i="1"/>
  <c r="C124" i="1"/>
  <c r="V65" i="1"/>
  <c r="T65" i="1" s="1"/>
  <c r="C65" i="1" s="1"/>
  <c r="T7" i="1"/>
  <c r="C7" i="1" s="1"/>
  <c r="N66" i="1"/>
  <c r="L66" i="1" s="1"/>
  <c r="C66" i="1" s="1"/>
  <c r="C79" i="1"/>
  <c r="C67" i="1"/>
  <c r="C80" i="1"/>
  <c r="C112" i="1"/>
  <c r="C103" i="1"/>
  <c r="C97" i="1"/>
  <c r="C73" i="1"/>
  <c r="C88" i="1"/>
  <c r="C110" i="1"/>
  <c r="C77" i="1"/>
  <c r="C85" i="1"/>
  <c r="C111" i="1"/>
  <c r="C78" i="1"/>
  <c r="C95" i="1"/>
  <c r="C115" i="1"/>
  <c r="C91" i="1"/>
  <c r="C109" i="1"/>
  <c r="C68" i="1"/>
  <c r="C92" i="1"/>
  <c r="C105" i="1"/>
  <c r="C76" i="1"/>
  <c r="C98" i="1"/>
  <c r="C100" i="1"/>
  <c r="C101" i="1"/>
  <c r="C81" i="1"/>
  <c r="C116" i="1"/>
  <c r="C69" i="1"/>
  <c r="C82" i="1"/>
  <c r="C104" i="1"/>
  <c r="C72" i="1"/>
  <c r="C96" i="1"/>
  <c r="C86" i="1"/>
  <c r="C106" i="1"/>
  <c r="C87" i="1"/>
  <c r="C84" i="1"/>
  <c r="C108" i="1"/>
  <c r="C114" i="1"/>
  <c r="C99" i="1"/>
  <c r="C93" i="1"/>
  <c r="C119" i="1"/>
  <c r="C71" i="1"/>
  <c r="C107" i="1"/>
  <c r="C89" i="1"/>
  <c r="C102" i="1"/>
  <c r="C113" i="1"/>
  <c r="C117" i="1"/>
  <c r="C94" i="1"/>
  <c r="C83" i="1"/>
  <c r="C74" i="1"/>
  <c r="C75" i="1"/>
  <c r="C118" i="1"/>
  <c r="C70" i="1"/>
  <c r="C90" i="1"/>
  <c r="C136" i="1"/>
  <c r="C47" i="1"/>
  <c r="C49" i="1"/>
  <c r="C42" i="1"/>
  <c r="C43" i="1"/>
  <c r="C46" i="1"/>
  <c r="C51" i="1"/>
  <c r="C52" i="1"/>
  <c r="C53" i="1"/>
  <c r="C48" i="1"/>
  <c r="C45" i="1"/>
  <c r="C50" i="1"/>
  <c r="C44" i="1"/>
  <c r="C54" i="1"/>
  <c r="N63" i="2" l="1"/>
  <c r="D153" i="1"/>
  <c r="D154" i="1" s="1"/>
  <c r="D140" i="1"/>
  <c r="D141" i="1" s="1"/>
  <c r="D142" i="1" s="1"/>
  <c r="D125" i="1"/>
  <c r="D126" i="1" s="1"/>
  <c r="D127" i="1" s="1"/>
  <c r="D55" i="1"/>
  <c r="D56" i="1" s="1"/>
  <c r="D57" i="1" s="1"/>
  <c r="D162" i="1" l="1"/>
  <c r="D155" i="1"/>
  <c r="D163" i="1"/>
  <c r="D16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<sst xmlns="http://schemas.openxmlformats.org/spreadsheetml/2006/main" count="979" uniqueCount="185">
  <si>
    <t>الرقم التسلسلي</t>
  </si>
  <si>
    <t>وصف البند</t>
  </si>
  <si>
    <t xml:space="preserve">الكمية </t>
  </si>
  <si>
    <t>رقما</t>
  </si>
  <si>
    <t>السعر الاجمالي</t>
  </si>
  <si>
    <t>وحدة القياس</t>
  </si>
  <si>
    <t>سعر الوحدة</t>
  </si>
  <si>
    <t>السعر الإجمالي شامل الضريبة</t>
  </si>
  <si>
    <t>الضرية</t>
  </si>
  <si>
    <t xml:space="preserve">السنة الأولى </t>
  </si>
  <si>
    <t xml:space="preserve">السنة الثانية </t>
  </si>
  <si>
    <t xml:space="preserve">السنة الثالثة </t>
  </si>
  <si>
    <t>السعر الإجمالي شامل الضريبة لجميع السنوات</t>
  </si>
  <si>
    <t>زيت محرك نوع  10W30</t>
  </si>
  <si>
    <t>زيت محرك نوع DIESEL 15w40</t>
  </si>
  <si>
    <t>زيت محرك 5W20</t>
  </si>
  <si>
    <t>زيت محرك 0W20</t>
  </si>
  <si>
    <t>زيت محرك 5W30</t>
  </si>
  <si>
    <t>زيت محرك R5000 4T 10W40</t>
  </si>
  <si>
    <t>لتر</t>
  </si>
  <si>
    <t>جدول الكميات والاسعار لمنافسة/ تأمين وتوريد غيار الزيوت ومشتقاتها وغسيل السيارات الخاصة بقوات أمن المنشآت (زيوت المحركات)</t>
  </si>
  <si>
    <t>WS</t>
  </si>
  <si>
    <t>Type T-N</t>
  </si>
  <si>
    <t>GL-4 75W-90</t>
  </si>
  <si>
    <t>FE</t>
  </si>
  <si>
    <t>MERCON LV</t>
  </si>
  <si>
    <t>GL-4 75W-85</t>
  </si>
  <si>
    <t>CVT   AT</t>
  </si>
  <si>
    <t>زيت تروس 90</t>
  </si>
  <si>
    <t>ATF SB-IV</t>
  </si>
  <si>
    <t>BV 75 80</t>
  </si>
  <si>
    <t>ATE III</t>
  </si>
  <si>
    <t>ATF DEXRON-VI</t>
  </si>
  <si>
    <t>8SPED</t>
  </si>
  <si>
    <t>28</t>
  </si>
  <si>
    <t>33</t>
  </si>
  <si>
    <t>جدول الكميات والاسعار لمنافسة/ تأمين وتوريد غيار الزيوت ومشتقاتها وغسيل السيارات الخاصة بقوات أمن المنشآت / زيوت القير</t>
  </si>
  <si>
    <t>فلتر ربع تويوتا</t>
  </si>
  <si>
    <t>فلتر اف جي تويوتا</t>
  </si>
  <si>
    <t>فلتر  فورشنر تويوتا</t>
  </si>
  <si>
    <t>فلتر شاص تويوتا</t>
  </si>
  <si>
    <t>فلتر اكسبلور فورد</t>
  </si>
  <si>
    <t>فلتر التيما نيسان</t>
  </si>
  <si>
    <t>فلتر تورس فورد</t>
  </si>
  <si>
    <t>فلتر تاهو شفرولية</t>
  </si>
  <si>
    <t>فلتر درانقو دوج</t>
  </si>
  <si>
    <t>فلتر تشارجر دوج</t>
  </si>
  <si>
    <t>فلتر دينا ايسوزو</t>
  </si>
  <si>
    <t>فلتر شاحنة ايسوزو</t>
  </si>
  <si>
    <t>فلتر لاند كروزر تويوتا</t>
  </si>
  <si>
    <t>فلتر فكتوريا فورد</t>
  </si>
  <si>
    <t>فلتر امبالا شفروليه</t>
  </si>
  <si>
    <t>فلتر بوكسر بيجو</t>
  </si>
  <si>
    <t>فلتر سفانا جي ام</t>
  </si>
  <si>
    <t>فلتر بكب نيسان</t>
  </si>
  <si>
    <t>فلتر سيدان بيجو</t>
  </si>
  <si>
    <t>فلتر هايلوكس تويوتا</t>
  </si>
  <si>
    <t>فلتر شاحنة مرسيدس</t>
  </si>
  <si>
    <t>فلتر جيب سوزوكي</t>
  </si>
  <si>
    <t>فلتر كامري تويوتا</t>
  </si>
  <si>
    <t>فلتر يوكن جي ام</t>
  </si>
  <si>
    <t>فلتر شاحنة فولفو</t>
  </si>
  <si>
    <t>فلتر باص نيسان</t>
  </si>
  <si>
    <t>فلتر دينا ميتسوبيشي</t>
  </si>
  <si>
    <t>فلتر اف 150 فورد</t>
  </si>
  <si>
    <t>فلتر رام دوج</t>
  </si>
  <si>
    <t>فلتر حافلة نيسان</t>
  </si>
  <si>
    <t>فلتر بكب ايسوزو</t>
  </si>
  <si>
    <t>فلتر اف 550 فورد</t>
  </si>
  <si>
    <t>فلتر حافلة هيونداي</t>
  </si>
  <si>
    <t>فلتر رافعة شوكية كات كتر بلر</t>
  </si>
  <si>
    <t>فلتر اكسبديشن فورد</t>
  </si>
  <si>
    <t>فلتر صني نيسان</t>
  </si>
  <si>
    <t>فلتر بارتنر بيجو</t>
  </si>
  <si>
    <t>فلتر باص تويوتا</t>
  </si>
  <si>
    <t>فلتر فوكس فورد</t>
  </si>
  <si>
    <t>فلتر اوريون تويوتا</t>
  </si>
  <si>
    <t>فلتر دراجة سوزوكي</t>
  </si>
  <si>
    <t>فلتر ونيت فورد</t>
  </si>
  <si>
    <t>فلتر سوبربان شفروليه</t>
  </si>
  <si>
    <t>فلتر النترا هيونداي</t>
  </si>
  <si>
    <t>فلتر دينا هيونداي</t>
  </si>
  <si>
    <t>فلتر باص مرسيدس 50 راكب</t>
  </si>
  <si>
    <t>فلتر شاحنة هيونداي</t>
  </si>
  <si>
    <t>فلتر رافعة شوكية تويوتا</t>
  </si>
  <si>
    <t>فلتر رافعة شوكية ميتسوبيشي</t>
  </si>
  <si>
    <t>فلتر سيرا جي ام</t>
  </si>
  <si>
    <t>S600 مرسيدس</t>
  </si>
  <si>
    <t>راس مرسيدس</t>
  </si>
  <si>
    <t>حافلة ميتسوبيشي</t>
  </si>
  <si>
    <t>راس فولفو</t>
  </si>
  <si>
    <t>شاحنة ميتسوبيشي</t>
  </si>
  <si>
    <t>فورد مدرعة</t>
  </si>
  <si>
    <t>اتش 1هيونداي</t>
  </si>
  <si>
    <t>دينا تويوتا</t>
  </si>
  <si>
    <t>كورولا تويوتا</t>
  </si>
  <si>
    <t>ميركوري فورد</t>
  </si>
  <si>
    <t>بالعدد</t>
  </si>
  <si>
    <t>45</t>
  </si>
  <si>
    <t>39</t>
  </si>
  <si>
    <t>جدول الكميات والاسعار لمنافسة/ تأمين وتوريد غيار الزيوت ومشتقاتها وغسيل السيارات الخاصة بقوات أمن المنشآت / فلاتر المحركات (السيوفونات )</t>
  </si>
  <si>
    <t>جدول الكميات والاسعار لمنافسة/ تأمين وتوريد غيار الزيوت ومشتقاتها وغسيل السيارات الخاصة بقوات أمن المنشآت / مشتقات الزيوت</t>
  </si>
  <si>
    <t xml:space="preserve">زيت الهدروليك </t>
  </si>
  <si>
    <t xml:space="preserve">زيت الفرامل </t>
  </si>
  <si>
    <t>تشحيم</t>
  </si>
  <si>
    <t>ماء  رديتر أصلي</t>
  </si>
  <si>
    <t>درزن</t>
  </si>
  <si>
    <t>علبة</t>
  </si>
  <si>
    <t>جالون</t>
  </si>
  <si>
    <t xml:space="preserve">جدول الكميات والاسعار لمنافسة/ تأمين وتوريد غيار الزيوت ومشتقاتها وغسيل السيارات الخاصة بقوات أمن المنشآت / غسيل السيارات </t>
  </si>
  <si>
    <t>غسيل عادي للسيارات الصغيرة عدد(425)</t>
  </si>
  <si>
    <t>غسيل عادي للسيارات المتوسطة عدد (2231)</t>
  </si>
  <si>
    <t>غسيل عادي لسيارات النقل الثقيل عدد (367)</t>
  </si>
  <si>
    <t>ضريبة القيمة المضافة</t>
  </si>
  <si>
    <t xml:space="preserve">المبلغ الإجمالي بدون ضريبة القيمة المضافة </t>
  </si>
  <si>
    <t xml:space="preserve">الإجمالي شاملاً ضريبة القيمة المضافة </t>
  </si>
  <si>
    <t xml:space="preserve">المبلغ الإجمالي للمنافسة بدون ضريبة القيمة المضافة </t>
  </si>
  <si>
    <t>50</t>
  </si>
  <si>
    <t>40</t>
  </si>
  <si>
    <t>74</t>
  </si>
  <si>
    <t>125</t>
  </si>
  <si>
    <t>48</t>
  </si>
  <si>
    <t>35</t>
  </si>
  <si>
    <t>49</t>
  </si>
  <si>
    <t>41</t>
  </si>
  <si>
    <t>34</t>
  </si>
  <si>
    <t>زيت ماكينة بنزين من 5 دبليو 20 مختوم (التوصية 10.000 كم)</t>
  </si>
  <si>
    <t>زيت ماكينة بنزين من 0 دبليو 20 مختوم (التوصية 10.000 كم)</t>
  </si>
  <si>
    <t>زيت ماكينة بنزين من 5 دبليو 30 مختوم (التوصية 10.000 كم)</t>
  </si>
  <si>
    <t>زيت ماكينة بنزين من 10 دبليو 30 مختوم (التوصية 5000 كم)</t>
  </si>
  <si>
    <t>زيت ماكينة بنزين من 5 دبليو 40 مختوم (التوصية 10.000 كم)</t>
  </si>
  <si>
    <t>زيت ماكينة ديزل من 20 دبليو 50 (التوصية50.000 كم)</t>
  </si>
  <si>
    <t>زيت ماكينة ديزل 15/40 (التوصية 5000 كم)</t>
  </si>
  <si>
    <t>زيت ماكينة ديزل 3هـ ر/40</t>
  </si>
  <si>
    <t>زيت ماكينة بنزين من 20 دبليو 50 مختوم (التوصية 5000 كم)</t>
  </si>
  <si>
    <t>زيت دراجات نارية 10 دبليو 40 مختوم (التوصية 5000كم)</t>
  </si>
  <si>
    <t>زيت دراجات نارية 50 دبليو 20 مختوم (التوصية 5000كم)</t>
  </si>
  <si>
    <t>زيت محاور مدرعات 80 دبيلو 90</t>
  </si>
  <si>
    <t>زيت ماكينة ديزل40/10</t>
  </si>
  <si>
    <t>زيت ماكينة ديزل 1 هـ ر/40</t>
  </si>
  <si>
    <t>زيت هيدروليك عيار 10</t>
  </si>
  <si>
    <t>زيت هيدروليك عيار 37</t>
  </si>
  <si>
    <t>زيت هيدروليك عيار 68</t>
  </si>
  <si>
    <t>زيت فرامل (دوت 3)</t>
  </si>
  <si>
    <t>زيت فرامل (دوت 4)</t>
  </si>
  <si>
    <t>زيت فرامل 21</t>
  </si>
  <si>
    <t>زيت تروس عيار 90</t>
  </si>
  <si>
    <t>زيت تروس عيار 140</t>
  </si>
  <si>
    <t>زيت اتوماتيك نقل الحركة D-11</t>
  </si>
  <si>
    <t>زيت اتوماتيك نقل الحركة D-111</t>
  </si>
  <si>
    <t>زيت قير للسيارات الكبيرة بجميع أنواعها</t>
  </si>
  <si>
    <t>زيت قير للسيارات المتوسطة بجميع أنواعها</t>
  </si>
  <si>
    <t>زيت قير للسيارات الصغيرة بجميع أنواعها</t>
  </si>
  <si>
    <t>زيت قير للمعدات الثقيلة بجميع أنواعها</t>
  </si>
  <si>
    <t>فلتر هواء للسيارات الكبيرة للمعدات الثقيلة بجميع أنواعها*</t>
  </si>
  <si>
    <t>عدد</t>
  </si>
  <si>
    <t>فلتر هواء للسيارات الكبيرة بجميع أنواعها*</t>
  </si>
  <si>
    <t>فلتر هواء للسيارات المتوسطة بجميع أنواعها*</t>
  </si>
  <si>
    <t>فلتر هواء للسيارات الصغيرة بجميع أنواعها*</t>
  </si>
  <si>
    <t>فلتر هواء للدراجات النارية بجميع انواعها</t>
  </si>
  <si>
    <t>شحم متعدد الأغراض 1 كيلو حراري</t>
  </si>
  <si>
    <t>شحم متعدد الأغراض مختزم 15 كيلو</t>
  </si>
  <si>
    <t>شحم متعدد الأغراض مختزم 180 كيلو</t>
  </si>
  <si>
    <t>برميل</t>
  </si>
  <si>
    <t>ماء مقطر للبطاريات أصلي</t>
  </si>
  <si>
    <t>قارورة</t>
  </si>
  <si>
    <t>ماء اديتر أصلي تركيز 50%</t>
  </si>
  <si>
    <t>سيفون أصلي وكالة للمعدات الثقيلة بجميع أنواعها *</t>
  </si>
  <si>
    <t>قطعة</t>
  </si>
  <si>
    <t>سيفون أصلي وكالة للسيارات الصغيرة بجميع أنواعها *</t>
  </si>
  <si>
    <t>سيفون أصلي وكالة للسيارات المتوسطة بجميع أنواعها*</t>
  </si>
  <si>
    <t>سيفون أصلي وكالة للسيارات الكبيرة بجميع أنواعها *</t>
  </si>
  <si>
    <t>سيفون أصلي وكالة للدراجات النارية بجميع أنواعها *</t>
  </si>
  <si>
    <t>سائل معالج البيئة (المادة الزرقاء) للشاحنات التي تعمل بالديزل يورو 5</t>
  </si>
  <si>
    <t>غسيل عادي سيارات صغيرة بجميع أنواعها *</t>
  </si>
  <si>
    <t>غسيل عادي سيارات متوسطة بجميع أنواعها *</t>
  </si>
  <si>
    <t>غسيل عادي سيارات كبيرة بجميع أنواعها *</t>
  </si>
  <si>
    <t>غسيل عادي الدراجات النارية بجميع أنواعها *</t>
  </si>
  <si>
    <t>غسيل بستم سيارات صغيرة بجميع أنواعها *</t>
  </si>
  <si>
    <t>غسيل بستم سيارات متوسطة بجميع أنواعها *</t>
  </si>
  <si>
    <t>غسيل بستم سيارات كبيرة بجميع أنواعها *</t>
  </si>
  <si>
    <t>علبه</t>
  </si>
  <si>
    <t>الإجمالي شاملاً ضريبة القيمة المضافة</t>
  </si>
  <si>
    <t>جدول الكميات والاسعار لمنافسة تأمين الغسيل والزيوت ومشتقاتها لقوات الطوارئ الخاصة</t>
  </si>
  <si>
    <t>السعر الإجمالي لجميع السنوات شامل الضريبة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</si>
</sst>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b/>
      <sz val="48"/>
      <color theme="1"/>
      <name val="Arial"/>
      <family val="2"/>
      <charset val="178"/>
      <scheme val="minor"/>
    </font>
    <font>
      <b/>
      <sz val="48"/>
      <color rgb="FF00B0F0"/>
      <name val="Arial"/>
      <family val="2"/>
      <charset val="178"/>
      <scheme val="minor"/>
    </font>
    <font>
      <b/>
      <sz val="48"/>
      <color theme="1"/>
      <name val="Cairo"/>
      <charset val="178"/>
    </font>
    <font>
      <b/>
      <sz val="48"/>
      <color rgb="FF000000"/>
      <name val="Arial"/>
      <family val="2"/>
      <charset val="178"/>
      <scheme val="minor"/>
    </font>
    <font>
      <b/>
      <sz val="16"/>
      <color theme="1"/>
      <name val="Arial"/>
      <family val="2"/>
      <scheme val="minor"/>
    </font>
    <font>
      <sz val="15.5"/>
      <color theme="1"/>
      <name val="Arial"/>
      <family val="2"/>
      <scheme val="minor"/>
    </font>
    <font>
      <b/>
      <sz val="15.5"/>
      <color rgb="FF00B0F0"/>
      <name val="Arial"/>
      <family val="2"/>
      <scheme val="minor"/>
    </font>
    <font>
      <b/>
      <sz val="15.5"/>
      <color theme="1"/>
      <name val="Arial"/>
      <family val="2"/>
      <scheme val="minor"/>
    </font>
    <font>
      <b/>
      <sz val="19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7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5" borderId="4" xfId="0" applyNumberFormat="1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>
      <alignment horizontal="center" vertical="center" wrapText="1"/>
    </xf>
    <xf numFmtId="0" fontId="3" fillId="0" borderId="4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164" fontId="10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164" fontId="10" fillId="0" borderId="22" xfId="1" applyFont="1" applyBorder="1" applyAlignment="1">
      <alignment vertical="center"/>
    </xf>
    <xf numFmtId="164" fontId="10" fillId="0" borderId="22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0" xfId="1" applyFont="1" applyBorder="1" applyAlignment="1">
      <alignment horizontal="center" vertical="center"/>
    </xf>
    <xf numFmtId="164" fontId="10" fillId="5" borderId="0" xfId="0" applyNumberFormat="1" applyFont="1" applyFill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2" fontId="11" fillId="0" borderId="9" xfId="0" applyNumberFormat="1" applyFont="1" applyBorder="1" applyAlignment="1">
      <alignment horizontal="center" vertical="center"/>
    </xf>
    <xf numFmtId="2" fontId="11" fillId="0" borderId="13" xfId="0" applyNumberFormat="1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3" fillId="0" borderId="4" xfId="1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4" xfId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" fontId="3" fillId="0" borderId="11" xfId="1" applyNumberFormat="1" applyFont="1" applyBorder="1" applyAlignment="1">
      <alignment horizontal="center" vertical="center" wrapText="1"/>
    </xf>
    <xf numFmtId="4" fontId="3" fillId="0" borderId="15" xfId="1" applyNumberFormat="1" applyFont="1" applyBorder="1" applyAlignment="1">
      <alignment horizontal="center" vertical="center" wrapText="1"/>
    </xf>
    <xf numFmtId="4" fontId="3" fillId="0" borderId="16" xfId="1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" fontId="3" fillId="0" borderId="9" xfId="1" applyNumberFormat="1" applyFont="1" applyBorder="1" applyAlignment="1">
      <alignment horizontal="center" vertical="center" wrapText="1"/>
    </xf>
    <xf numFmtId="4" fontId="3" fillId="0" borderId="13" xfId="1" applyNumberFormat="1" applyFont="1" applyBorder="1" applyAlignment="1">
      <alignment horizontal="center" vertical="center" wrapText="1"/>
    </xf>
    <xf numFmtId="4" fontId="3" fillId="0" borderId="6" xfId="1" applyNumberFormat="1" applyFont="1" applyBorder="1" applyAlignment="1">
      <alignment horizontal="center" vertical="center" wrapText="1"/>
    </xf>
    <xf numFmtId="164" fontId="3" fillId="0" borderId="9" xfId="1" applyFont="1" applyBorder="1" applyAlignment="1">
      <alignment horizontal="center" vertical="center" wrapText="1"/>
    </xf>
    <xf numFmtId="164" fontId="3" fillId="0" borderId="6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" fontId="3" fillId="0" borderId="20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D822-DCAA-7741-A65A-880B45117355}">
  <dimension ref="B2:AO164"/>
  <sheetViews>
    <sheetView showGridLines="0" topLeftCell="A127" zoomScale="30" zoomScaleNormal="30" zoomScaleSheetLayoutView="100" workbookViewId="0">
      <selection activeCell="Y152" sqref="Y152"/>
    </sheetView>
  </sheetViews>
  <sheetFormatPr defaultColWidth="11.109375" defaultRowHeight="57" customHeight="1"/>
  <cols>
    <col min="1" max="1" width="5.44140625" style="2" customWidth="1"/>
    <col min="2" max="2" width="9.109375" style="2" hidden="1" customWidth="1"/>
    <col min="3" max="3" width="33.77734375" style="2" customWidth="1"/>
    <col min="4" max="4" width="15.44140625" style="2" customWidth="1"/>
    <col min="5" max="5" width="13.44140625" style="2" customWidth="1"/>
    <col min="6" max="6" width="21.88671875" style="2" customWidth="1"/>
    <col min="7" max="7" width="11.109375" style="2"/>
    <col min="8" max="8" width="13.6640625" style="2" customWidth="1"/>
    <col min="9" max="9" width="22" style="2" bestFit="1" customWidth="1"/>
    <col min="10" max="10" width="12.77734375" style="2" customWidth="1"/>
    <col min="11" max="11" width="13.44140625" style="2" customWidth="1"/>
    <col min="12" max="12" width="11.109375" style="2" customWidth="1"/>
    <col min="13" max="13" width="13.6640625" style="2" customWidth="1"/>
    <col min="14" max="14" width="21.44140625" style="2" customWidth="1"/>
    <col min="15" max="15" width="11.109375" style="2"/>
    <col min="16" max="16" width="14.21875" style="2" customWidth="1"/>
    <col min="17" max="17" width="22" style="2" bestFit="1" customWidth="1"/>
    <col min="18" max="18" width="14.44140625" style="2" customWidth="1"/>
    <col min="19" max="19" width="13" style="2" customWidth="1"/>
    <col min="20" max="20" width="22.77734375" style="2" customWidth="1"/>
    <col min="21" max="21" width="6.33203125" style="2" customWidth="1"/>
    <col min="22" max="22" width="45.6640625" style="2" customWidth="1"/>
    <col min="23" max="23" width="31.44140625" style="2" customWidth="1"/>
    <col min="24" max="24" width="15.21875" style="2" customWidth="1"/>
    <col min="25" max="25" width="17.5546875" style="2" customWidth="1"/>
    <col min="26" max="26" width="24.21875" style="2" bestFit="1" customWidth="1"/>
    <col min="27" max="27" width="17.109375" style="2" customWidth="1"/>
    <col min="28" max="28" width="72.77734375" style="2" customWidth="1"/>
    <col min="29" max="29" width="24.21875" style="2" customWidth="1"/>
    <col min="30" max="36" width="11.109375" style="2"/>
    <col min="37" max="37" width="4.44140625" style="2" customWidth="1"/>
    <col min="38" max="40" width="11.109375" style="2" hidden="1" customWidth="1"/>
    <col min="41" max="41" width="27.44140625" style="2" hidden="1" customWidth="1"/>
    <col min="42" max="42" width="32.21875" style="2" customWidth="1"/>
    <col min="43" max="43" width="31.88671875" style="2" customWidth="1"/>
    <col min="44" max="44" width="29.21875" style="2" customWidth="1"/>
    <col min="45" max="45" width="35.6640625" style="2" customWidth="1"/>
    <col min="46" max="16384" width="11.109375" style="2"/>
  </cols>
  <sheetData>
    <row r="2" spans="3:29" ht="57" customHeight="1" thickBot="1"/>
    <row r="3" spans="3:29" ht="57" customHeight="1" thickBot="1">
      <c r="D3" s="102" t="s">
        <v>20</v>
      </c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4"/>
    </row>
    <row r="4" spans="3:29" ht="57" customHeight="1" thickBot="1">
      <c r="D4" s="90" t="s">
        <v>11</v>
      </c>
      <c r="E4" s="91"/>
      <c r="F4" s="91"/>
      <c r="G4" s="91"/>
      <c r="H4" s="91"/>
      <c r="I4" s="91"/>
      <c r="J4" s="91"/>
      <c r="K4" s="92"/>
      <c r="L4" s="93" t="s">
        <v>10</v>
      </c>
      <c r="M4" s="94"/>
      <c r="N4" s="94"/>
      <c r="O4" s="94"/>
      <c r="P4" s="94"/>
      <c r="Q4" s="94"/>
      <c r="R4" s="94"/>
      <c r="S4" s="96"/>
      <c r="T4" s="97" t="s">
        <v>9</v>
      </c>
      <c r="U4" s="98"/>
      <c r="V4" s="98"/>
      <c r="W4" s="98"/>
      <c r="X4" s="98"/>
      <c r="Y4" s="98"/>
      <c r="Z4" s="98"/>
      <c r="AA4" s="101"/>
      <c r="AB4" s="65" t="s">
        <v>1</v>
      </c>
      <c r="AC4" s="72" t="s">
        <v>0</v>
      </c>
    </row>
    <row r="5" spans="3:29" ht="57" customHeight="1" thickBot="1">
      <c r="C5" s="68" t="s">
        <v>12</v>
      </c>
      <c r="D5" s="70" t="s">
        <v>7</v>
      </c>
      <c r="E5" s="71"/>
      <c r="F5" s="5" t="s">
        <v>8</v>
      </c>
      <c r="G5" s="70" t="s">
        <v>4</v>
      </c>
      <c r="H5" s="71"/>
      <c r="I5" s="3" t="s">
        <v>6</v>
      </c>
      <c r="J5" s="72" t="s">
        <v>2</v>
      </c>
      <c r="K5" s="72" t="s">
        <v>5</v>
      </c>
      <c r="L5" s="70" t="s">
        <v>7</v>
      </c>
      <c r="M5" s="71"/>
      <c r="N5" s="5" t="s">
        <v>8</v>
      </c>
      <c r="O5" s="70" t="s">
        <v>4</v>
      </c>
      <c r="P5" s="71"/>
      <c r="Q5" s="3" t="s">
        <v>6</v>
      </c>
      <c r="R5" s="72" t="s">
        <v>2</v>
      </c>
      <c r="S5" s="72" t="s">
        <v>5</v>
      </c>
      <c r="T5" s="70" t="s">
        <v>7</v>
      </c>
      <c r="U5" s="71"/>
      <c r="V5" s="5" t="s">
        <v>8</v>
      </c>
      <c r="W5" s="70" t="s">
        <v>4</v>
      </c>
      <c r="X5" s="71"/>
      <c r="Y5" s="3" t="s">
        <v>6</v>
      </c>
      <c r="Z5" s="72" t="s">
        <v>2</v>
      </c>
      <c r="AA5" s="72" t="s">
        <v>5</v>
      </c>
      <c r="AB5" s="66"/>
      <c r="AC5" s="73"/>
    </row>
    <row r="6" spans="3:29" ht="57" customHeight="1">
      <c r="C6" s="69"/>
      <c r="D6" s="65" t="s">
        <v>3</v>
      </c>
      <c r="E6" s="67"/>
      <c r="F6" s="4" t="s">
        <v>3</v>
      </c>
      <c r="G6" s="65" t="s">
        <v>3</v>
      </c>
      <c r="H6" s="67"/>
      <c r="I6" s="3" t="s">
        <v>3</v>
      </c>
      <c r="J6" s="73"/>
      <c r="K6" s="73"/>
      <c r="L6" s="65" t="s">
        <v>3</v>
      </c>
      <c r="M6" s="67"/>
      <c r="N6" s="4" t="s">
        <v>3</v>
      </c>
      <c r="O6" s="65" t="s">
        <v>3</v>
      </c>
      <c r="P6" s="67"/>
      <c r="Q6" s="3" t="s">
        <v>3</v>
      </c>
      <c r="R6" s="73"/>
      <c r="S6" s="73"/>
      <c r="T6" s="65" t="s">
        <v>3</v>
      </c>
      <c r="U6" s="67"/>
      <c r="V6" s="4" t="s">
        <v>3</v>
      </c>
      <c r="W6" s="65" t="s">
        <v>3</v>
      </c>
      <c r="X6" s="67"/>
      <c r="Y6" s="3" t="s">
        <v>3</v>
      </c>
      <c r="Z6" s="73"/>
      <c r="AA6" s="73"/>
      <c r="AB6" s="66"/>
      <c r="AC6" s="73"/>
    </row>
    <row r="7" spans="3:29" ht="57" customHeight="1">
      <c r="C7" s="6">
        <f t="shared" ref="C7:C22" si="0">D7+L7+T7</f>
        <v>1589397</v>
      </c>
      <c r="D7" s="61">
        <f>F7+G7</f>
        <v>577392</v>
      </c>
      <c r="E7" s="61"/>
      <c r="F7" s="7">
        <f>G7*0.15</f>
        <v>75312</v>
      </c>
      <c r="G7" s="62">
        <f t="shared" ref="G7:G22" si="1">I7*J7</f>
        <v>502080</v>
      </c>
      <c r="H7" s="62"/>
      <c r="I7" s="1">
        <v>16</v>
      </c>
      <c r="J7" s="1">
        <v>31380</v>
      </c>
      <c r="K7" s="1" t="s">
        <v>19</v>
      </c>
      <c r="L7" s="61">
        <f>N7+O7</f>
        <v>541305</v>
      </c>
      <c r="M7" s="61"/>
      <c r="N7" s="7">
        <f>O7*0.15</f>
        <v>70605</v>
      </c>
      <c r="O7" s="62">
        <f t="shared" ref="O7:O22" si="2">Q7*R7</f>
        <v>470700</v>
      </c>
      <c r="P7" s="62"/>
      <c r="Q7" s="8">
        <v>15</v>
      </c>
      <c r="R7" s="1">
        <v>31380</v>
      </c>
      <c r="S7" s="1" t="s">
        <v>19</v>
      </c>
      <c r="T7" s="61">
        <f>V7+W7</f>
        <v>470700</v>
      </c>
      <c r="U7" s="61"/>
      <c r="V7" s="7"/>
      <c r="W7" s="62">
        <f t="shared" ref="W7:W22" si="3">Y7*Z7</f>
        <v>470700</v>
      </c>
      <c r="X7" s="62"/>
      <c r="Y7" s="8">
        <v>15</v>
      </c>
      <c r="Z7" s="1">
        <v>31380</v>
      </c>
      <c r="AA7" s="1" t="s">
        <v>19</v>
      </c>
      <c r="AB7" s="1" t="s">
        <v>13</v>
      </c>
      <c r="AC7" s="1">
        <v>1</v>
      </c>
    </row>
    <row r="8" spans="3:29" ht="57" customHeight="1">
      <c r="C8" s="6">
        <f t="shared" si="0"/>
        <v>3104544.5999999996</v>
      </c>
      <c r="D8" s="61">
        <f t="shared" ref="D8:D11" si="4">F8+G8</f>
        <v>1068230.3999999999</v>
      </c>
      <c r="E8" s="61"/>
      <c r="F8" s="7">
        <f>G8*0.15</f>
        <v>139334.39999999999</v>
      </c>
      <c r="G8" s="62">
        <f t="shared" si="1"/>
        <v>928896</v>
      </c>
      <c r="H8" s="62"/>
      <c r="I8" s="1">
        <v>16</v>
      </c>
      <c r="J8" s="1">
        <v>58056</v>
      </c>
      <c r="K8" s="1" t="s">
        <v>19</v>
      </c>
      <c r="L8" s="61">
        <f t="shared" ref="L8:L10" si="5">N8+O8</f>
        <v>1034848.2</v>
      </c>
      <c r="M8" s="61"/>
      <c r="N8" s="7">
        <f>O8*0.15</f>
        <v>134980.19999999998</v>
      </c>
      <c r="O8" s="62">
        <f t="shared" si="2"/>
        <v>899868</v>
      </c>
      <c r="P8" s="62"/>
      <c r="Q8" s="8">
        <v>15.5</v>
      </c>
      <c r="R8" s="1">
        <v>58056</v>
      </c>
      <c r="S8" s="1" t="s">
        <v>19</v>
      </c>
      <c r="T8" s="61">
        <f t="shared" ref="T8:T11" si="6">V8+W8</f>
        <v>1001466</v>
      </c>
      <c r="U8" s="61"/>
      <c r="V8" s="7">
        <f>W8*0.15</f>
        <v>130626</v>
      </c>
      <c r="W8" s="62">
        <f t="shared" si="3"/>
        <v>870840</v>
      </c>
      <c r="X8" s="62"/>
      <c r="Y8" s="8">
        <v>15</v>
      </c>
      <c r="Z8" s="1">
        <v>58056</v>
      </c>
      <c r="AA8" s="1" t="s">
        <v>19</v>
      </c>
      <c r="AB8" s="1" t="s">
        <v>13</v>
      </c>
      <c r="AC8" s="1">
        <v>2</v>
      </c>
    </row>
    <row r="9" spans="3:29" ht="57" customHeight="1">
      <c r="C9" s="6">
        <f t="shared" si="0"/>
        <v>4830</v>
      </c>
      <c r="D9" s="61">
        <f t="shared" si="4"/>
        <v>1656</v>
      </c>
      <c r="E9" s="61"/>
      <c r="F9" s="7">
        <f t="shared" ref="F9:F11" si="7">G9*0.15</f>
        <v>216</v>
      </c>
      <c r="G9" s="62">
        <f t="shared" si="1"/>
        <v>1440</v>
      </c>
      <c r="H9" s="62"/>
      <c r="I9" s="1">
        <v>18</v>
      </c>
      <c r="J9" s="1">
        <v>80</v>
      </c>
      <c r="K9" s="1" t="s">
        <v>19</v>
      </c>
      <c r="L9" s="61">
        <f t="shared" si="5"/>
        <v>1610</v>
      </c>
      <c r="M9" s="61"/>
      <c r="N9" s="7">
        <f t="shared" ref="N9:N10" si="8">O9*0.15</f>
        <v>210</v>
      </c>
      <c r="O9" s="62">
        <f t="shared" si="2"/>
        <v>1400</v>
      </c>
      <c r="P9" s="62"/>
      <c r="Q9" s="8">
        <v>17.5</v>
      </c>
      <c r="R9" s="1">
        <v>80</v>
      </c>
      <c r="S9" s="1" t="s">
        <v>19</v>
      </c>
      <c r="T9" s="61">
        <f t="shared" si="6"/>
        <v>1564</v>
      </c>
      <c r="U9" s="61"/>
      <c r="V9" s="7">
        <f t="shared" ref="V9:V11" si="9">W9*0.15</f>
        <v>204</v>
      </c>
      <c r="W9" s="62">
        <f t="shared" si="3"/>
        <v>1360</v>
      </c>
      <c r="X9" s="62"/>
      <c r="Y9" s="8">
        <v>17</v>
      </c>
      <c r="Z9" s="1">
        <v>80</v>
      </c>
      <c r="AA9" s="1" t="s">
        <v>19</v>
      </c>
      <c r="AB9" s="1" t="s">
        <v>13</v>
      </c>
      <c r="AC9" s="1">
        <v>3</v>
      </c>
    </row>
    <row r="10" spans="3:29" ht="57" customHeight="1">
      <c r="C10" s="6">
        <f t="shared" si="0"/>
        <v>900781.2</v>
      </c>
      <c r="D10" s="61">
        <f t="shared" si="4"/>
        <v>304612</v>
      </c>
      <c r="E10" s="61"/>
      <c r="F10" s="7">
        <f t="shared" si="7"/>
        <v>39732</v>
      </c>
      <c r="G10" s="62">
        <f t="shared" si="1"/>
        <v>264880</v>
      </c>
      <c r="H10" s="62"/>
      <c r="I10" s="1">
        <v>17.5</v>
      </c>
      <c r="J10" s="1">
        <v>15136</v>
      </c>
      <c r="K10" s="1" t="s">
        <v>19</v>
      </c>
      <c r="L10" s="61">
        <f t="shared" si="5"/>
        <v>300260.40000000002</v>
      </c>
      <c r="M10" s="61"/>
      <c r="N10" s="7">
        <f t="shared" si="8"/>
        <v>39164.400000000001</v>
      </c>
      <c r="O10" s="62">
        <f t="shared" si="2"/>
        <v>261096</v>
      </c>
      <c r="P10" s="62"/>
      <c r="Q10" s="8">
        <v>17.25</v>
      </c>
      <c r="R10" s="1">
        <v>15136</v>
      </c>
      <c r="S10" s="1" t="s">
        <v>19</v>
      </c>
      <c r="T10" s="61">
        <f t="shared" si="6"/>
        <v>295908.8</v>
      </c>
      <c r="U10" s="61"/>
      <c r="V10" s="7">
        <f t="shared" si="9"/>
        <v>38596.799999999996</v>
      </c>
      <c r="W10" s="62">
        <f t="shared" si="3"/>
        <v>257312</v>
      </c>
      <c r="X10" s="62"/>
      <c r="Y10" s="8">
        <v>17</v>
      </c>
      <c r="Z10" s="1">
        <v>15136</v>
      </c>
      <c r="AA10" s="1" t="s">
        <v>19</v>
      </c>
      <c r="AB10" s="1" t="s">
        <v>13</v>
      </c>
      <c r="AC10" s="1">
        <v>4</v>
      </c>
    </row>
    <row r="11" spans="3:29" ht="57" customHeight="1">
      <c r="C11" s="6">
        <f t="shared" si="0"/>
        <v>654925</v>
      </c>
      <c r="D11" s="61">
        <f t="shared" si="4"/>
        <v>223445</v>
      </c>
      <c r="E11" s="61"/>
      <c r="F11" s="7">
        <f t="shared" si="7"/>
        <v>29145</v>
      </c>
      <c r="G11" s="62">
        <f t="shared" si="1"/>
        <v>194300</v>
      </c>
      <c r="H11" s="62"/>
      <c r="I11" s="1">
        <v>14.5</v>
      </c>
      <c r="J11" s="1">
        <v>13400</v>
      </c>
      <c r="K11" s="1" t="s">
        <v>19</v>
      </c>
      <c r="L11" s="61">
        <f>N11+O11</f>
        <v>215740</v>
      </c>
      <c r="M11" s="61"/>
      <c r="N11" s="7">
        <f>O11*0.15</f>
        <v>28140</v>
      </c>
      <c r="O11" s="62">
        <f t="shared" si="2"/>
        <v>187600</v>
      </c>
      <c r="P11" s="62"/>
      <c r="Q11" s="8">
        <v>14</v>
      </c>
      <c r="R11" s="1">
        <v>13400</v>
      </c>
      <c r="S11" s="1" t="s">
        <v>19</v>
      </c>
      <c r="T11" s="61">
        <f t="shared" si="6"/>
        <v>215740</v>
      </c>
      <c r="U11" s="61"/>
      <c r="V11" s="7">
        <f t="shared" si="9"/>
        <v>28140</v>
      </c>
      <c r="W11" s="62">
        <f t="shared" si="3"/>
        <v>187600</v>
      </c>
      <c r="X11" s="62"/>
      <c r="Y11" s="8">
        <v>14</v>
      </c>
      <c r="Z11" s="1">
        <v>13400</v>
      </c>
      <c r="AA11" s="1" t="s">
        <v>19</v>
      </c>
      <c r="AB11" s="1" t="s">
        <v>14</v>
      </c>
      <c r="AC11" s="1">
        <v>5</v>
      </c>
    </row>
    <row r="12" spans="3:29" ht="57" customHeight="1">
      <c r="C12" s="6">
        <f t="shared" si="0"/>
        <v>20175.599999999999</v>
      </c>
      <c r="D12" s="61">
        <f>F12+G12</f>
        <v>6803.4</v>
      </c>
      <c r="E12" s="61"/>
      <c r="F12" s="7">
        <f>G12*0.15</f>
        <v>887.4</v>
      </c>
      <c r="G12" s="62">
        <f t="shared" si="1"/>
        <v>5916</v>
      </c>
      <c r="H12" s="62"/>
      <c r="I12" s="1">
        <v>14.5</v>
      </c>
      <c r="J12" s="1">
        <v>408</v>
      </c>
      <c r="K12" s="1" t="s">
        <v>19</v>
      </c>
      <c r="L12" s="61">
        <f>N12+O12</f>
        <v>6803.4</v>
      </c>
      <c r="M12" s="61"/>
      <c r="N12" s="7">
        <f>O12*0.15</f>
        <v>887.4</v>
      </c>
      <c r="O12" s="62">
        <f t="shared" si="2"/>
        <v>5916</v>
      </c>
      <c r="P12" s="62"/>
      <c r="Q12" s="8">
        <v>14.5</v>
      </c>
      <c r="R12" s="1">
        <v>408</v>
      </c>
      <c r="S12" s="1" t="s">
        <v>19</v>
      </c>
      <c r="T12" s="61">
        <f>V12+W12</f>
        <v>6568.8</v>
      </c>
      <c r="U12" s="61"/>
      <c r="V12" s="7">
        <f>W12*0.15</f>
        <v>856.8</v>
      </c>
      <c r="W12" s="62">
        <f t="shared" si="3"/>
        <v>5712</v>
      </c>
      <c r="X12" s="62"/>
      <c r="Y12" s="8">
        <v>14</v>
      </c>
      <c r="Z12" s="1">
        <v>408</v>
      </c>
      <c r="AA12" s="1" t="s">
        <v>19</v>
      </c>
      <c r="AB12" s="1" t="s">
        <v>14</v>
      </c>
      <c r="AC12" s="1">
        <v>6</v>
      </c>
    </row>
    <row r="13" spans="3:29" ht="57" customHeight="1">
      <c r="C13" s="6">
        <f t="shared" si="0"/>
        <v>175950</v>
      </c>
      <c r="D13" s="61">
        <f t="shared" ref="D13:D16" si="10">F13+G13</f>
        <v>58650</v>
      </c>
      <c r="E13" s="61"/>
      <c r="F13" s="7">
        <f>G13*0.15</f>
        <v>7650</v>
      </c>
      <c r="G13" s="62">
        <f t="shared" si="1"/>
        <v>51000</v>
      </c>
      <c r="H13" s="62"/>
      <c r="I13" s="1">
        <v>15</v>
      </c>
      <c r="J13" s="1">
        <v>3400</v>
      </c>
      <c r="K13" s="1" t="s">
        <v>19</v>
      </c>
      <c r="L13" s="61">
        <f t="shared" ref="L13:L16" si="11">N13+O13</f>
        <v>58650</v>
      </c>
      <c r="M13" s="61"/>
      <c r="N13" s="7">
        <f>O13*0.15</f>
        <v>7650</v>
      </c>
      <c r="O13" s="62">
        <f t="shared" si="2"/>
        <v>51000</v>
      </c>
      <c r="P13" s="62"/>
      <c r="Q13" s="8">
        <v>15</v>
      </c>
      <c r="R13" s="1">
        <v>3400</v>
      </c>
      <c r="S13" s="1" t="s">
        <v>19</v>
      </c>
      <c r="T13" s="61">
        <f t="shared" ref="T13:T16" si="12">V13+W13</f>
        <v>58650</v>
      </c>
      <c r="U13" s="61"/>
      <c r="V13" s="7">
        <f>W13*0.15</f>
        <v>7650</v>
      </c>
      <c r="W13" s="62">
        <f t="shared" si="3"/>
        <v>51000</v>
      </c>
      <c r="X13" s="62"/>
      <c r="Y13" s="8">
        <v>15</v>
      </c>
      <c r="Z13" s="1">
        <v>3400</v>
      </c>
      <c r="AA13" s="1" t="s">
        <v>19</v>
      </c>
      <c r="AB13" s="1" t="s">
        <v>14</v>
      </c>
      <c r="AC13" s="1">
        <v>7</v>
      </c>
    </row>
    <row r="14" spans="3:29" ht="57" customHeight="1">
      <c r="C14" s="6">
        <f t="shared" si="0"/>
        <v>20286</v>
      </c>
      <c r="D14" s="61">
        <f t="shared" si="10"/>
        <v>6762</v>
      </c>
      <c r="E14" s="61"/>
      <c r="F14" s="7">
        <f t="shared" ref="F14:F16" si="13">G14*0.15</f>
        <v>882</v>
      </c>
      <c r="G14" s="62">
        <f t="shared" si="1"/>
        <v>5880</v>
      </c>
      <c r="H14" s="62"/>
      <c r="I14" s="1">
        <v>15</v>
      </c>
      <c r="J14" s="1">
        <v>392</v>
      </c>
      <c r="K14" s="1" t="s">
        <v>19</v>
      </c>
      <c r="L14" s="61">
        <f>N14+O14</f>
        <v>6762</v>
      </c>
      <c r="M14" s="61"/>
      <c r="N14" s="7">
        <f t="shared" ref="N14:N16" si="14">O14*0.15</f>
        <v>882</v>
      </c>
      <c r="O14" s="62">
        <f t="shared" si="2"/>
        <v>5880</v>
      </c>
      <c r="P14" s="62"/>
      <c r="Q14" s="8">
        <v>15</v>
      </c>
      <c r="R14" s="1">
        <v>392</v>
      </c>
      <c r="S14" s="1" t="s">
        <v>19</v>
      </c>
      <c r="T14" s="61">
        <f t="shared" si="12"/>
        <v>6762</v>
      </c>
      <c r="U14" s="61"/>
      <c r="V14" s="7">
        <f t="shared" ref="V14:V16" si="15">W14*0.15</f>
        <v>882</v>
      </c>
      <c r="W14" s="62">
        <f t="shared" si="3"/>
        <v>5880</v>
      </c>
      <c r="X14" s="62"/>
      <c r="Y14" s="8">
        <v>15</v>
      </c>
      <c r="Z14" s="1">
        <v>392</v>
      </c>
      <c r="AA14" s="1" t="s">
        <v>19</v>
      </c>
      <c r="AB14" s="1" t="s">
        <v>14</v>
      </c>
      <c r="AC14" s="1">
        <v>8</v>
      </c>
    </row>
    <row r="15" spans="3:29" ht="57" customHeight="1">
      <c r="C15" s="6">
        <f t="shared" si="0"/>
        <v>385848</v>
      </c>
      <c r="D15" s="61">
        <f t="shared" si="10"/>
        <v>128616</v>
      </c>
      <c r="E15" s="61"/>
      <c r="F15" s="7">
        <f t="shared" si="13"/>
        <v>16776</v>
      </c>
      <c r="G15" s="62">
        <f t="shared" si="1"/>
        <v>111840</v>
      </c>
      <c r="H15" s="62"/>
      <c r="I15" s="1">
        <v>15</v>
      </c>
      <c r="J15" s="1">
        <v>7456</v>
      </c>
      <c r="K15" s="1" t="s">
        <v>19</v>
      </c>
      <c r="L15" s="61">
        <f t="shared" si="11"/>
        <v>128616</v>
      </c>
      <c r="M15" s="61"/>
      <c r="N15" s="7">
        <f t="shared" si="14"/>
        <v>16776</v>
      </c>
      <c r="O15" s="62">
        <f t="shared" si="2"/>
        <v>111840</v>
      </c>
      <c r="P15" s="62"/>
      <c r="Q15" s="8">
        <v>15</v>
      </c>
      <c r="R15" s="1">
        <v>7456</v>
      </c>
      <c r="S15" s="1" t="s">
        <v>19</v>
      </c>
      <c r="T15" s="61">
        <f t="shared" si="12"/>
        <v>128616</v>
      </c>
      <c r="U15" s="61"/>
      <c r="V15" s="7">
        <f t="shared" si="15"/>
        <v>16776</v>
      </c>
      <c r="W15" s="62">
        <f t="shared" si="3"/>
        <v>111840</v>
      </c>
      <c r="X15" s="62"/>
      <c r="Y15" s="8">
        <v>15</v>
      </c>
      <c r="Z15" s="1">
        <v>7456</v>
      </c>
      <c r="AA15" s="1" t="s">
        <v>19</v>
      </c>
      <c r="AB15" s="1" t="s">
        <v>14</v>
      </c>
      <c r="AC15" s="1">
        <v>9</v>
      </c>
    </row>
    <row r="16" spans="3:29" ht="57" customHeight="1">
      <c r="C16" s="6">
        <f t="shared" si="0"/>
        <v>673164</v>
      </c>
      <c r="D16" s="61">
        <f t="shared" si="10"/>
        <v>224388</v>
      </c>
      <c r="E16" s="61"/>
      <c r="F16" s="7">
        <f t="shared" si="13"/>
        <v>29268</v>
      </c>
      <c r="G16" s="62">
        <f t="shared" si="1"/>
        <v>195120</v>
      </c>
      <c r="H16" s="62"/>
      <c r="I16" s="1">
        <v>15</v>
      </c>
      <c r="J16" s="1">
        <v>13008</v>
      </c>
      <c r="K16" s="1" t="s">
        <v>19</v>
      </c>
      <c r="L16" s="61">
        <f t="shared" si="11"/>
        <v>224388</v>
      </c>
      <c r="M16" s="61"/>
      <c r="N16" s="7">
        <f t="shared" si="14"/>
        <v>29268</v>
      </c>
      <c r="O16" s="62">
        <f t="shared" si="2"/>
        <v>195120</v>
      </c>
      <c r="P16" s="62"/>
      <c r="Q16" s="8">
        <v>15</v>
      </c>
      <c r="R16" s="1">
        <v>13008</v>
      </c>
      <c r="S16" s="1" t="s">
        <v>19</v>
      </c>
      <c r="T16" s="61">
        <f t="shared" si="12"/>
        <v>224388</v>
      </c>
      <c r="U16" s="61"/>
      <c r="V16" s="7">
        <f t="shared" si="15"/>
        <v>29268</v>
      </c>
      <c r="W16" s="62">
        <f t="shared" si="3"/>
        <v>195120</v>
      </c>
      <c r="X16" s="62"/>
      <c r="Y16" s="8">
        <v>15</v>
      </c>
      <c r="Z16" s="1">
        <v>13008</v>
      </c>
      <c r="AA16" s="1" t="s">
        <v>19</v>
      </c>
      <c r="AB16" s="1" t="s">
        <v>14</v>
      </c>
      <c r="AC16" s="1">
        <v>10</v>
      </c>
    </row>
    <row r="17" spans="3:29" ht="57" customHeight="1">
      <c r="C17" s="6">
        <f t="shared" si="0"/>
        <v>536433.6</v>
      </c>
      <c r="D17" s="61">
        <f>F17+G17</f>
        <v>187128</v>
      </c>
      <c r="E17" s="61"/>
      <c r="F17" s="7">
        <f>G17*0.15</f>
        <v>24408</v>
      </c>
      <c r="G17" s="62">
        <f t="shared" si="1"/>
        <v>162720</v>
      </c>
      <c r="H17" s="62"/>
      <c r="I17" s="1">
        <v>22.5</v>
      </c>
      <c r="J17" s="1">
        <v>7232</v>
      </c>
      <c r="K17" s="1" t="s">
        <v>19</v>
      </c>
      <c r="L17" s="61">
        <f>N17+O17</f>
        <v>174652.79999999999</v>
      </c>
      <c r="M17" s="61"/>
      <c r="N17" s="7">
        <f>O17*0.15</f>
        <v>22780.799999999999</v>
      </c>
      <c r="O17" s="62">
        <f t="shared" si="2"/>
        <v>151872</v>
      </c>
      <c r="P17" s="62"/>
      <c r="Q17" s="8">
        <v>21</v>
      </c>
      <c r="R17" s="1">
        <v>7232</v>
      </c>
      <c r="S17" s="1" t="s">
        <v>19</v>
      </c>
      <c r="T17" s="61">
        <f>V17+W17</f>
        <v>174652.79999999999</v>
      </c>
      <c r="U17" s="61"/>
      <c r="V17" s="7">
        <f>W17*0.15</f>
        <v>22780.799999999999</v>
      </c>
      <c r="W17" s="62">
        <f t="shared" si="3"/>
        <v>151872</v>
      </c>
      <c r="X17" s="62"/>
      <c r="Y17" s="8">
        <v>21</v>
      </c>
      <c r="Z17" s="1">
        <v>7232</v>
      </c>
      <c r="AA17" s="1" t="s">
        <v>19</v>
      </c>
      <c r="AB17" s="1" t="s">
        <v>15</v>
      </c>
      <c r="AC17" s="1">
        <v>11</v>
      </c>
    </row>
    <row r="18" spans="3:29" ht="57" customHeight="1">
      <c r="C18" s="6">
        <f t="shared" si="0"/>
        <v>555827.19999999995</v>
      </c>
      <c r="D18" s="61">
        <f t="shared" ref="D18:D21" si="16">F18+G18</f>
        <v>122470.39999999999</v>
      </c>
      <c r="E18" s="61"/>
      <c r="F18" s="7">
        <f>G18*0.15</f>
        <v>15974.4</v>
      </c>
      <c r="G18" s="62">
        <f t="shared" si="1"/>
        <v>106496</v>
      </c>
      <c r="H18" s="62"/>
      <c r="I18" s="1">
        <v>13</v>
      </c>
      <c r="J18" s="1">
        <v>8192</v>
      </c>
      <c r="K18" s="1" t="s">
        <v>19</v>
      </c>
      <c r="L18" s="61">
        <f t="shared" ref="L18:L21" si="17">N18+O18</f>
        <v>216678.39999999999</v>
      </c>
      <c r="M18" s="61"/>
      <c r="N18" s="7">
        <f>O18*0.15</f>
        <v>28262.399999999998</v>
      </c>
      <c r="O18" s="62">
        <f t="shared" si="2"/>
        <v>188416</v>
      </c>
      <c r="P18" s="62"/>
      <c r="Q18" s="8">
        <v>23</v>
      </c>
      <c r="R18" s="1">
        <v>8192</v>
      </c>
      <c r="S18" s="1" t="s">
        <v>19</v>
      </c>
      <c r="T18" s="61">
        <f t="shared" ref="T18:T21" si="18">V18+W18</f>
        <v>216678.39999999999</v>
      </c>
      <c r="U18" s="61"/>
      <c r="V18" s="7">
        <f>W18*0.15</f>
        <v>28262.399999999998</v>
      </c>
      <c r="W18" s="62">
        <f t="shared" si="3"/>
        <v>188416</v>
      </c>
      <c r="X18" s="62"/>
      <c r="Y18" s="8">
        <v>23</v>
      </c>
      <c r="Z18" s="1">
        <v>8192</v>
      </c>
      <c r="AA18" s="1" t="s">
        <v>19</v>
      </c>
      <c r="AB18" s="1" t="s">
        <v>15</v>
      </c>
      <c r="AC18" s="1">
        <v>12</v>
      </c>
    </row>
    <row r="19" spans="3:29" ht="57" customHeight="1">
      <c r="C19" s="6">
        <f t="shared" si="0"/>
        <v>158276.79999999999</v>
      </c>
      <c r="D19" s="61">
        <f t="shared" si="16"/>
        <v>53323.199999999997</v>
      </c>
      <c r="E19" s="61"/>
      <c r="F19" s="7">
        <f t="shared" ref="F19:F21" si="19">G19*0.15</f>
        <v>6955.2</v>
      </c>
      <c r="G19" s="62">
        <f t="shared" si="1"/>
        <v>46368</v>
      </c>
      <c r="H19" s="62"/>
      <c r="I19" s="1">
        <v>31.5</v>
      </c>
      <c r="J19" s="1">
        <v>1472</v>
      </c>
      <c r="K19" s="1" t="s">
        <v>19</v>
      </c>
      <c r="L19" s="61">
        <f t="shared" si="17"/>
        <v>52476.800000000003</v>
      </c>
      <c r="M19" s="61"/>
      <c r="N19" s="7">
        <f t="shared" ref="N19:N21" si="20">O19*0.15</f>
        <v>6844.8</v>
      </c>
      <c r="O19" s="62">
        <f t="shared" si="2"/>
        <v>45632</v>
      </c>
      <c r="P19" s="62"/>
      <c r="Q19" s="8">
        <v>31</v>
      </c>
      <c r="R19" s="1">
        <v>1472</v>
      </c>
      <c r="S19" s="1" t="s">
        <v>19</v>
      </c>
      <c r="T19" s="61">
        <f t="shared" si="18"/>
        <v>52476.800000000003</v>
      </c>
      <c r="U19" s="61"/>
      <c r="V19" s="7">
        <f t="shared" ref="V19:V21" si="21">W19*0.15</f>
        <v>6844.8</v>
      </c>
      <c r="W19" s="62">
        <f t="shared" si="3"/>
        <v>45632</v>
      </c>
      <c r="X19" s="62"/>
      <c r="Y19" s="8">
        <v>31</v>
      </c>
      <c r="Z19" s="1">
        <v>1472</v>
      </c>
      <c r="AA19" s="1" t="s">
        <v>19</v>
      </c>
      <c r="AB19" s="1" t="s">
        <v>16</v>
      </c>
      <c r="AC19" s="1">
        <v>13</v>
      </c>
    </row>
    <row r="20" spans="3:29" ht="57" customHeight="1">
      <c r="C20" s="6">
        <f t="shared" si="0"/>
        <v>432326.40000000002</v>
      </c>
      <c r="D20" s="61">
        <f t="shared" si="16"/>
        <v>145728</v>
      </c>
      <c r="E20" s="61"/>
      <c r="F20" s="7">
        <f t="shared" si="19"/>
        <v>19008</v>
      </c>
      <c r="G20" s="62">
        <f t="shared" si="1"/>
        <v>126720</v>
      </c>
      <c r="H20" s="62"/>
      <c r="I20" s="1">
        <v>30</v>
      </c>
      <c r="J20" s="1">
        <v>4224</v>
      </c>
      <c r="K20" s="1" t="s">
        <v>19</v>
      </c>
      <c r="L20" s="61">
        <f t="shared" si="17"/>
        <v>143299.20000000001</v>
      </c>
      <c r="M20" s="61"/>
      <c r="N20" s="7">
        <f t="shared" si="20"/>
        <v>18691.2</v>
      </c>
      <c r="O20" s="62">
        <f t="shared" si="2"/>
        <v>124608</v>
      </c>
      <c r="P20" s="62"/>
      <c r="Q20" s="8">
        <v>29.5</v>
      </c>
      <c r="R20" s="1">
        <v>4224</v>
      </c>
      <c r="S20" s="1" t="s">
        <v>19</v>
      </c>
      <c r="T20" s="61">
        <f t="shared" si="18"/>
        <v>143299.20000000001</v>
      </c>
      <c r="U20" s="61"/>
      <c r="V20" s="7">
        <f t="shared" si="21"/>
        <v>18691.2</v>
      </c>
      <c r="W20" s="62">
        <f t="shared" si="3"/>
        <v>124608</v>
      </c>
      <c r="X20" s="62"/>
      <c r="Y20" s="8">
        <v>29.5</v>
      </c>
      <c r="Z20" s="1">
        <v>4224</v>
      </c>
      <c r="AA20" s="1" t="s">
        <v>19</v>
      </c>
      <c r="AB20" s="1" t="s">
        <v>17</v>
      </c>
      <c r="AC20" s="1">
        <v>14</v>
      </c>
    </row>
    <row r="21" spans="3:29" ht="57" customHeight="1">
      <c r="C21" s="6">
        <f t="shared" si="0"/>
        <v>55678.399999999994</v>
      </c>
      <c r="D21" s="61">
        <f t="shared" si="16"/>
        <v>18768</v>
      </c>
      <c r="E21" s="61"/>
      <c r="F21" s="7">
        <f t="shared" si="19"/>
        <v>2448</v>
      </c>
      <c r="G21" s="62">
        <f t="shared" si="1"/>
        <v>16320</v>
      </c>
      <c r="H21" s="62"/>
      <c r="I21" s="1">
        <v>30</v>
      </c>
      <c r="J21" s="1">
        <v>544</v>
      </c>
      <c r="K21" s="1" t="s">
        <v>19</v>
      </c>
      <c r="L21" s="61">
        <f t="shared" si="17"/>
        <v>18455.2</v>
      </c>
      <c r="M21" s="61"/>
      <c r="N21" s="7">
        <f t="shared" si="20"/>
        <v>2407.1999999999998</v>
      </c>
      <c r="O21" s="62">
        <f t="shared" si="2"/>
        <v>16048</v>
      </c>
      <c r="P21" s="62"/>
      <c r="Q21" s="8">
        <v>29.5</v>
      </c>
      <c r="R21" s="1">
        <v>544</v>
      </c>
      <c r="S21" s="1" t="s">
        <v>19</v>
      </c>
      <c r="T21" s="61">
        <f t="shared" si="18"/>
        <v>18455.2</v>
      </c>
      <c r="U21" s="61"/>
      <c r="V21" s="7">
        <f t="shared" si="21"/>
        <v>2407.1999999999998</v>
      </c>
      <c r="W21" s="62">
        <f t="shared" si="3"/>
        <v>16048</v>
      </c>
      <c r="X21" s="62"/>
      <c r="Y21" s="8">
        <v>29.5</v>
      </c>
      <c r="Z21" s="1">
        <v>544</v>
      </c>
      <c r="AA21" s="1" t="s">
        <v>19</v>
      </c>
      <c r="AB21" s="1" t="s">
        <v>17</v>
      </c>
      <c r="AC21" s="1">
        <v>15</v>
      </c>
    </row>
    <row r="22" spans="3:29" ht="57" customHeight="1">
      <c r="C22" s="6">
        <f t="shared" si="0"/>
        <v>16729.05</v>
      </c>
      <c r="D22" s="61">
        <f t="shared" ref="D22" si="22">F22+G22</f>
        <v>5606.25</v>
      </c>
      <c r="E22" s="61"/>
      <c r="F22" s="7">
        <f t="shared" ref="F22" si="23">G22*0.15</f>
        <v>731.25</v>
      </c>
      <c r="G22" s="62">
        <f t="shared" si="1"/>
        <v>4875</v>
      </c>
      <c r="H22" s="62"/>
      <c r="I22" s="1">
        <v>31.25</v>
      </c>
      <c r="J22" s="1">
        <v>156</v>
      </c>
      <c r="K22" s="1" t="s">
        <v>19</v>
      </c>
      <c r="L22" s="61">
        <f t="shared" ref="L22" si="24">N22+O22</f>
        <v>5561.4</v>
      </c>
      <c r="M22" s="61"/>
      <c r="N22" s="7">
        <f t="shared" ref="N22" si="25">O22*0.15</f>
        <v>725.4</v>
      </c>
      <c r="O22" s="62">
        <f t="shared" si="2"/>
        <v>4836</v>
      </c>
      <c r="P22" s="62"/>
      <c r="Q22" s="8">
        <v>31</v>
      </c>
      <c r="R22" s="1">
        <v>156</v>
      </c>
      <c r="S22" s="1" t="s">
        <v>19</v>
      </c>
      <c r="T22" s="61">
        <f t="shared" ref="T22" si="26">V22+W22</f>
        <v>5561.4</v>
      </c>
      <c r="U22" s="61"/>
      <c r="V22" s="7">
        <f t="shared" ref="V22" si="27">W22*0.15</f>
        <v>725.4</v>
      </c>
      <c r="W22" s="62">
        <f t="shared" si="3"/>
        <v>4836</v>
      </c>
      <c r="X22" s="62"/>
      <c r="Y22" s="8">
        <v>31</v>
      </c>
      <c r="Z22" s="1">
        <v>156</v>
      </c>
      <c r="AA22" s="1" t="s">
        <v>19</v>
      </c>
      <c r="AB22" s="1" t="s">
        <v>18</v>
      </c>
      <c r="AC22" s="1">
        <v>16</v>
      </c>
    </row>
    <row r="23" spans="3:29" ht="57" customHeight="1">
      <c r="C23" s="9"/>
      <c r="D23" s="58" cm="1">
        <f t="array" ref="D23">SUM(W7:X22+O7:P22+G7:H22)</f>
        <v>8135459</v>
      </c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76" t="s">
        <v>114</v>
      </c>
      <c r="AA23" s="76"/>
      <c r="AB23" s="76"/>
      <c r="AC23" s="77"/>
    </row>
    <row r="24" spans="3:29" ht="57" customHeight="1">
      <c r="D24" s="78">
        <f>D23*0.15</f>
        <v>1220318.8499999999</v>
      </c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80"/>
      <c r="Z24" s="81" t="s">
        <v>113</v>
      </c>
      <c r="AA24" s="81"/>
      <c r="AB24" s="81"/>
      <c r="AC24" s="82"/>
    </row>
    <row r="25" spans="3:29" ht="57" customHeight="1">
      <c r="D25" s="83">
        <f>3092092.4+3128332+3133578.65</f>
        <v>9354003.0500000007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5"/>
      <c r="Z25" s="81" t="s">
        <v>115</v>
      </c>
      <c r="AA25" s="81"/>
      <c r="AB25" s="81"/>
      <c r="AC25" s="82"/>
    </row>
    <row r="26" spans="3:29" ht="57" customHeight="1">
      <c r="I26" s="1"/>
    </row>
    <row r="36" spans="3:29" ht="57" customHeight="1" thickBot="1"/>
    <row r="37" spans="3:29" ht="57" customHeight="1" thickBot="1">
      <c r="D37" s="70" t="s">
        <v>36</v>
      </c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71"/>
    </row>
    <row r="38" spans="3:29" ht="57" customHeight="1" thickBot="1">
      <c r="D38" s="90" t="s">
        <v>11</v>
      </c>
      <c r="E38" s="91"/>
      <c r="F38" s="91"/>
      <c r="G38" s="91"/>
      <c r="H38" s="91"/>
      <c r="I38" s="91"/>
      <c r="J38" s="91"/>
      <c r="K38" s="92"/>
      <c r="L38" s="93" t="s">
        <v>10</v>
      </c>
      <c r="M38" s="94"/>
      <c r="N38" s="94"/>
      <c r="O38" s="94"/>
      <c r="P38" s="94"/>
      <c r="Q38" s="94"/>
      <c r="R38" s="94"/>
      <c r="S38" s="96"/>
      <c r="T38" s="97" t="s">
        <v>9</v>
      </c>
      <c r="U38" s="98"/>
      <c r="V38" s="98"/>
      <c r="W38" s="98"/>
      <c r="X38" s="98"/>
      <c r="Y38" s="98"/>
      <c r="Z38" s="98"/>
      <c r="AA38" s="101"/>
      <c r="AB38" s="65" t="s">
        <v>1</v>
      </c>
      <c r="AC38" s="72" t="s">
        <v>0</v>
      </c>
    </row>
    <row r="39" spans="3:29" ht="57" customHeight="1" thickBot="1">
      <c r="C39" s="68" t="s">
        <v>12</v>
      </c>
      <c r="D39" s="70" t="s">
        <v>7</v>
      </c>
      <c r="E39" s="71"/>
      <c r="F39" s="5" t="s">
        <v>8</v>
      </c>
      <c r="G39" s="70" t="s">
        <v>4</v>
      </c>
      <c r="H39" s="71"/>
      <c r="I39" s="3" t="s">
        <v>6</v>
      </c>
      <c r="J39" s="72" t="s">
        <v>2</v>
      </c>
      <c r="K39" s="72" t="s">
        <v>5</v>
      </c>
      <c r="L39" s="70" t="s">
        <v>7</v>
      </c>
      <c r="M39" s="71"/>
      <c r="N39" s="5" t="s">
        <v>8</v>
      </c>
      <c r="O39" s="70" t="s">
        <v>4</v>
      </c>
      <c r="P39" s="71"/>
      <c r="Q39" s="3" t="s">
        <v>6</v>
      </c>
      <c r="R39" s="72" t="s">
        <v>2</v>
      </c>
      <c r="S39" s="72" t="s">
        <v>5</v>
      </c>
      <c r="T39" s="70" t="s">
        <v>7</v>
      </c>
      <c r="U39" s="71"/>
      <c r="V39" s="5" t="s">
        <v>8</v>
      </c>
      <c r="W39" s="70" t="s">
        <v>4</v>
      </c>
      <c r="X39" s="71"/>
      <c r="Y39" s="3" t="s">
        <v>6</v>
      </c>
      <c r="Z39" s="72" t="s">
        <v>2</v>
      </c>
      <c r="AA39" s="72" t="s">
        <v>5</v>
      </c>
      <c r="AB39" s="66"/>
      <c r="AC39" s="73"/>
    </row>
    <row r="40" spans="3:29" ht="57" customHeight="1">
      <c r="C40" s="69"/>
      <c r="D40" s="65" t="s">
        <v>3</v>
      </c>
      <c r="E40" s="67"/>
      <c r="F40" s="4" t="s">
        <v>3</v>
      </c>
      <c r="G40" s="65" t="s">
        <v>3</v>
      </c>
      <c r="H40" s="67"/>
      <c r="I40" s="3" t="s">
        <v>3</v>
      </c>
      <c r="J40" s="73"/>
      <c r="K40" s="73"/>
      <c r="L40" s="65" t="s">
        <v>3</v>
      </c>
      <c r="M40" s="67"/>
      <c r="N40" s="4" t="s">
        <v>3</v>
      </c>
      <c r="O40" s="65" t="s">
        <v>3</v>
      </c>
      <c r="P40" s="67"/>
      <c r="Q40" s="3" t="s">
        <v>3</v>
      </c>
      <c r="R40" s="73"/>
      <c r="S40" s="73"/>
      <c r="T40" s="65" t="s">
        <v>3</v>
      </c>
      <c r="U40" s="67"/>
      <c r="V40" s="4" t="s">
        <v>3</v>
      </c>
      <c r="W40" s="65" t="s">
        <v>3</v>
      </c>
      <c r="X40" s="67"/>
      <c r="Y40" s="3" t="s">
        <v>3</v>
      </c>
      <c r="Z40" s="73"/>
      <c r="AA40" s="73"/>
      <c r="AB40" s="66"/>
      <c r="AC40" s="73"/>
    </row>
    <row r="41" spans="3:29" ht="57" customHeight="1">
      <c r="C41" s="6">
        <f t="shared" ref="C41:C54" si="28">D41+L41+T41</f>
        <v>64335.600000000006</v>
      </c>
      <c r="D41" s="61">
        <f>F41+G41</f>
        <v>21445.200000000001</v>
      </c>
      <c r="E41" s="61"/>
      <c r="F41" s="7">
        <f t="shared" ref="F41:F54" si="29">G41*0.15</f>
        <v>2797.2</v>
      </c>
      <c r="G41" s="86">
        <f t="shared" ref="G41:G54" si="30">J41*I41</f>
        <v>18648</v>
      </c>
      <c r="H41" s="87"/>
      <c r="I41" s="8">
        <v>28</v>
      </c>
      <c r="J41" s="1">
        <v>666</v>
      </c>
      <c r="K41" s="1" t="s">
        <v>19</v>
      </c>
      <c r="L41" s="99">
        <f>N41+O41</f>
        <v>21445.200000000001</v>
      </c>
      <c r="M41" s="100"/>
      <c r="N41" s="7">
        <f>O41*0.15</f>
        <v>2797.2</v>
      </c>
      <c r="O41" s="62">
        <f t="shared" ref="O41:O54" si="31">Q41*R41</f>
        <v>18648</v>
      </c>
      <c r="P41" s="62"/>
      <c r="Q41" s="8">
        <v>28</v>
      </c>
      <c r="R41" s="1">
        <v>666</v>
      </c>
      <c r="S41" s="1" t="s">
        <v>19</v>
      </c>
      <c r="T41" s="61">
        <f>V41+W41</f>
        <v>21445.200000000001</v>
      </c>
      <c r="U41" s="61"/>
      <c r="V41" s="7">
        <f>W41*0.15</f>
        <v>2797.2</v>
      </c>
      <c r="W41" s="62">
        <f t="shared" ref="W41:W54" si="32">Y41*Z41</f>
        <v>18648</v>
      </c>
      <c r="X41" s="62"/>
      <c r="Y41" s="8">
        <v>28</v>
      </c>
      <c r="Z41" s="1">
        <v>666</v>
      </c>
      <c r="AA41" s="1" t="s">
        <v>19</v>
      </c>
      <c r="AB41" s="1" t="s">
        <v>21</v>
      </c>
      <c r="AC41" s="1">
        <v>1</v>
      </c>
    </row>
    <row r="42" spans="3:29" ht="57" customHeight="1">
      <c r="C42" s="6">
        <f t="shared" si="28"/>
        <v>5520</v>
      </c>
      <c r="D42" s="61">
        <f t="shared" ref="D42:D54" si="33">F42+G42</f>
        <v>1840</v>
      </c>
      <c r="E42" s="61"/>
      <c r="F42" s="7">
        <f t="shared" si="29"/>
        <v>240</v>
      </c>
      <c r="G42" s="86">
        <f t="shared" si="30"/>
        <v>1600</v>
      </c>
      <c r="H42" s="87"/>
      <c r="I42" s="8">
        <v>20</v>
      </c>
      <c r="J42" s="1">
        <v>80</v>
      </c>
      <c r="K42" s="1" t="s">
        <v>19</v>
      </c>
      <c r="L42" s="99">
        <f t="shared" ref="L42:L44" si="34">N42+O42</f>
        <v>1840</v>
      </c>
      <c r="M42" s="100"/>
      <c r="N42" s="7">
        <f>O42*0.15</f>
        <v>240</v>
      </c>
      <c r="O42" s="62">
        <f t="shared" si="31"/>
        <v>1600</v>
      </c>
      <c r="P42" s="62"/>
      <c r="Q42" s="8">
        <v>20</v>
      </c>
      <c r="R42" s="1">
        <v>80</v>
      </c>
      <c r="S42" s="1" t="s">
        <v>19</v>
      </c>
      <c r="T42" s="61">
        <f t="shared" ref="T42:T45" si="35">V42+W42</f>
        <v>1840</v>
      </c>
      <c r="U42" s="61"/>
      <c r="V42" s="7">
        <f>W42*0.15</f>
        <v>240</v>
      </c>
      <c r="W42" s="62">
        <f t="shared" si="32"/>
        <v>1600</v>
      </c>
      <c r="X42" s="62"/>
      <c r="Y42" s="8">
        <v>20</v>
      </c>
      <c r="Z42" s="1">
        <v>80</v>
      </c>
      <c r="AA42" s="1" t="s">
        <v>19</v>
      </c>
      <c r="AB42" s="1" t="s">
        <v>22</v>
      </c>
      <c r="AC42" s="1">
        <v>2</v>
      </c>
    </row>
    <row r="43" spans="3:29" ht="57" customHeight="1">
      <c r="C43" s="6">
        <f t="shared" si="28"/>
        <v>20700</v>
      </c>
      <c r="D43" s="61">
        <f t="shared" si="33"/>
        <v>6900</v>
      </c>
      <c r="E43" s="61"/>
      <c r="F43" s="7">
        <f t="shared" si="29"/>
        <v>900</v>
      </c>
      <c r="G43" s="86">
        <f t="shared" si="30"/>
        <v>6000</v>
      </c>
      <c r="H43" s="87"/>
      <c r="I43" s="8">
        <v>10</v>
      </c>
      <c r="J43" s="1">
        <v>600</v>
      </c>
      <c r="K43" s="1" t="s">
        <v>19</v>
      </c>
      <c r="L43" s="61">
        <f t="shared" si="34"/>
        <v>6900</v>
      </c>
      <c r="M43" s="61"/>
      <c r="N43" s="7">
        <f t="shared" ref="N43:N44" si="36">O43*0.15</f>
        <v>900</v>
      </c>
      <c r="O43" s="62">
        <f t="shared" si="31"/>
        <v>6000</v>
      </c>
      <c r="P43" s="62"/>
      <c r="Q43" s="8">
        <v>10</v>
      </c>
      <c r="R43" s="1">
        <v>600</v>
      </c>
      <c r="S43" s="1" t="s">
        <v>19</v>
      </c>
      <c r="T43" s="61">
        <f t="shared" si="35"/>
        <v>6900</v>
      </c>
      <c r="U43" s="61"/>
      <c r="V43" s="7">
        <f t="shared" ref="V43:V45" si="37">W43*0.15</f>
        <v>900</v>
      </c>
      <c r="W43" s="62">
        <f t="shared" si="32"/>
        <v>6000</v>
      </c>
      <c r="X43" s="62"/>
      <c r="Y43" s="8">
        <v>10</v>
      </c>
      <c r="Z43" s="1">
        <v>600</v>
      </c>
      <c r="AA43" s="1" t="s">
        <v>19</v>
      </c>
      <c r="AB43" s="1" t="s">
        <v>23</v>
      </c>
      <c r="AC43" s="1">
        <v>3</v>
      </c>
    </row>
    <row r="44" spans="3:29" ht="57" customHeight="1">
      <c r="C44" s="6">
        <f t="shared" si="28"/>
        <v>207</v>
      </c>
      <c r="D44" s="61">
        <f t="shared" si="33"/>
        <v>69</v>
      </c>
      <c r="E44" s="61"/>
      <c r="F44" s="7">
        <f t="shared" si="29"/>
        <v>9</v>
      </c>
      <c r="G44" s="86">
        <f t="shared" si="30"/>
        <v>60</v>
      </c>
      <c r="H44" s="87"/>
      <c r="I44" s="8">
        <v>30</v>
      </c>
      <c r="J44" s="1">
        <v>2</v>
      </c>
      <c r="K44" s="1" t="s">
        <v>19</v>
      </c>
      <c r="L44" s="61">
        <f t="shared" si="34"/>
        <v>69</v>
      </c>
      <c r="M44" s="61"/>
      <c r="N44" s="7">
        <f t="shared" si="36"/>
        <v>9</v>
      </c>
      <c r="O44" s="62">
        <f t="shared" si="31"/>
        <v>60</v>
      </c>
      <c r="P44" s="62"/>
      <c r="Q44" s="8">
        <v>30</v>
      </c>
      <c r="R44" s="1">
        <v>2</v>
      </c>
      <c r="S44" s="1" t="s">
        <v>19</v>
      </c>
      <c r="T44" s="61">
        <f t="shared" si="35"/>
        <v>69</v>
      </c>
      <c r="U44" s="61"/>
      <c r="V44" s="7">
        <f t="shared" si="37"/>
        <v>9</v>
      </c>
      <c r="W44" s="62">
        <f t="shared" si="32"/>
        <v>60</v>
      </c>
      <c r="X44" s="62"/>
      <c r="Y44" s="8">
        <v>30</v>
      </c>
      <c r="Z44" s="1">
        <v>2</v>
      </c>
      <c r="AA44" s="1" t="s">
        <v>19</v>
      </c>
      <c r="AB44" s="1" t="s">
        <v>24</v>
      </c>
      <c r="AC44" s="1">
        <v>4</v>
      </c>
    </row>
    <row r="45" spans="3:29" ht="57" customHeight="1">
      <c r="C45" s="6">
        <f t="shared" si="28"/>
        <v>8280</v>
      </c>
      <c r="D45" s="61">
        <f t="shared" si="33"/>
        <v>2760</v>
      </c>
      <c r="E45" s="61"/>
      <c r="F45" s="7">
        <f t="shared" si="29"/>
        <v>360</v>
      </c>
      <c r="G45" s="86">
        <f t="shared" si="30"/>
        <v>2400</v>
      </c>
      <c r="H45" s="87"/>
      <c r="I45" s="8">
        <v>20</v>
      </c>
      <c r="J45" s="1">
        <v>120</v>
      </c>
      <c r="K45" s="1" t="s">
        <v>19</v>
      </c>
      <c r="L45" s="61">
        <f>N45+O45</f>
        <v>2760</v>
      </c>
      <c r="M45" s="61"/>
      <c r="N45" s="7">
        <f>O45*0.15</f>
        <v>360</v>
      </c>
      <c r="O45" s="62">
        <f t="shared" si="31"/>
        <v>2400</v>
      </c>
      <c r="P45" s="62"/>
      <c r="Q45" s="8">
        <v>20</v>
      </c>
      <c r="R45" s="1">
        <v>120</v>
      </c>
      <c r="S45" s="1" t="s">
        <v>19</v>
      </c>
      <c r="T45" s="61">
        <f t="shared" si="35"/>
        <v>2760</v>
      </c>
      <c r="U45" s="61"/>
      <c r="V45" s="7">
        <f t="shared" si="37"/>
        <v>360</v>
      </c>
      <c r="W45" s="62">
        <f t="shared" si="32"/>
        <v>2400</v>
      </c>
      <c r="X45" s="62"/>
      <c r="Y45" s="8">
        <v>20</v>
      </c>
      <c r="Z45" s="1">
        <v>120</v>
      </c>
      <c r="AA45" s="1" t="s">
        <v>19</v>
      </c>
      <c r="AB45" s="1" t="s">
        <v>25</v>
      </c>
      <c r="AC45" s="1">
        <v>5</v>
      </c>
    </row>
    <row r="46" spans="3:29" ht="57" customHeight="1">
      <c r="C46" s="6">
        <f t="shared" si="28"/>
        <v>3149.8500000000004</v>
      </c>
      <c r="D46" s="61">
        <f t="shared" si="33"/>
        <v>1049.95</v>
      </c>
      <c r="E46" s="61"/>
      <c r="F46" s="7">
        <f t="shared" si="29"/>
        <v>136.94999999999999</v>
      </c>
      <c r="G46" s="86">
        <f t="shared" si="30"/>
        <v>913</v>
      </c>
      <c r="H46" s="87"/>
      <c r="I46" s="8">
        <v>11</v>
      </c>
      <c r="J46" s="1">
        <v>83</v>
      </c>
      <c r="K46" s="1" t="s">
        <v>19</v>
      </c>
      <c r="L46" s="61">
        <f>N46+O46</f>
        <v>1049.95</v>
      </c>
      <c r="M46" s="61"/>
      <c r="N46" s="7">
        <f>O46*0.15</f>
        <v>136.94999999999999</v>
      </c>
      <c r="O46" s="62">
        <f t="shared" si="31"/>
        <v>913</v>
      </c>
      <c r="P46" s="62"/>
      <c r="Q46" s="8">
        <v>11</v>
      </c>
      <c r="R46" s="1">
        <v>83</v>
      </c>
      <c r="S46" s="1" t="s">
        <v>19</v>
      </c>
      <c r="T46" s="61">
        <f>V46+W46</f>
        <v>1049.95</v>
      </c>
      <c r="U46" s="61"/>
      <c r="V46" s="7">
        <f>W46*0.15</f>
        <v>136.94999999999999</v>
      </c>
      <c r="W46" s="62">
        <f t="shared" si="32"/>
        <v>913</v>
      </c>
      <c r="X46" s="62"/>
      <c r="Y46" s="8">
        <v>11</v>
      </c>
      <c r="Z46" s="1">
        <v>83</v>
      </c>
      <c r="AA46" s="1" t="s">
        <v>19</v>
      </c>
      <c r="AB46" s="1" t="s">
        <v>26</v>
      </c>
      <c r="AC46" s="1">
        <v>6</v>
      </c>
    </row>
    <row r="47" spans="3:29" ht="57" customHeight="1">
      <c r="C47" s="6">
        <f t="shared" si="28"/>
        <v>241.5</v>
      </c>
      <c r="D47" s="61">
        <f t="shared" si="33"/>
        <v>80.5</v>
      </c>
      <c r="E47" s="61"/>
      <c r="F47" s="7">
        <f t="shared" si="29"/>
        <v>10.5</v>
      </c>
      <c r="G47" s="86">
        <f t="shared" si="30"/>
        <v>70</v>
      </c>
      <c r="H47" s="87"/>
      <c r="I47" s="8">
        <v>10</v>
      </c>
      <c r="J47" s="1">
        <v>7</v>
      </c>
      <c r="K47" s="1" t="s">
        <v>19</v>
      </c>
      <c r="L47" s="61">
        <f t="shared" ref="L47" si="38">N47+O47</f>
        <v>80.5</v>
      </c>
      <c r="M47" s="61"/>
      <c r="N47" s="7">
        <f>O47*0.15</f>
        <v>10.5</v>
      </c>
      <c r="O47" s="62">
        <f t="shared" si="31"/>
        <v>70</v>
      </c>
      <c r="P47" s="62"/>
      <c r="Q47" s="8">
        <v>10</v>
      </c>
      <c r="R47" s="1">
        <v>7</v>
      </c>
      <c r="S47" s="1" t="s">
        <v>19</v>
      </c>
      <c r="T47" s="61">
        <f t="shared" ref="T47:T50" si="39">V47+W47</f>
        <v>80.5</v>
      </c>
      <c r="U47" s="61"/>
      <c r="V47" s="7">
        <f>W47*0.15</f>
        <v>10.5</v>
      </c>
      <c r="W47" s="62">
        <f t="shared" si="32"/>
        <v>70</v>
      </c>
      <c r="X47" s="62"/>
      <c r="Y47" s="8">
        <v>10</v>
      </c>
      <c r="Z47" s="1">
        <v>7</v>
      </c>
      <c r="AA47" s="1" t="s">
        <v>19</v>
      </c>
      <c r="AB47" s="1" t="s">
        <v>27</v>
      </c>
      <c r="AC47" s="1">
        <v>7</v>
      </c>
    </row>
    <row r="48" spans="3:29" ht="57" customHeight="1">
      <c r="C48" s="6">
        <f t="shared" si="28"/>
        <v>37777.5</v>
      </c>
      <c r="D48" s="61">
        <f t="shared" si="33"/>
        <v>12937.5</v>
      </c>
      <c r="E48" s="61"/>
      <c r="F48" s="7">
        <f t="shared" si="29"/>
        <v>1687.5</v>
      </c>
      <c r="G48" s="86">
        <f t="shared" si="30"/>
        <v>11250</v>
      </c>
      <c r="H48" s="87"/>
      <c r="I48" s="8">
        <v>12.5</v>
      </c>
      <c r="J48" s="1">
        <v>900</v>
      </c>
      <c r="K48" s="1" t="s">
        <v>19</v>
      </c>
      <c r="L48" s="61">
        <f>N48+O48</f>
        <v>12937.5</v>
      </c>
      <c r="M48" s="61"/>
      <c r="N48" s="7">
        <f t="shared" ref="N48:N50" si="40">O48*0.15</f>
        <v>1687.5</v>
      </c>
      <c r="O48" s="62">
        <f t="shared" si="31"/>
        <v>11250</v>
      </c>
      <c r="P48" s="62"/>
      <c r="Q48" s="8">
        <v>12.5</v>
      </c>
      <c r="R48" s="1">
        <v>900</v>
      </c>
      <c r="S48" s="1" t="s">
        <v>19</v>
      </c>
      <c r="T48" s="61">
        <f t="shared" si="39"/>
        <v>11902.5</v>
      </c>
      <c r="U48" s="61"/>
      <c r="V48" s="7">
        <f t="shared" ref="V48:V50" si="41">W48*0.15</f>
        <v>1552.5</v>
      </c>
      <c r="W48" s="62">
        <f t="shared" si="32"/>
        <v>10350</v>
      </c>
      <c r="X48" s="62"/>
      <c r="Y48" s="8">
        <v>11.5</v>
      </c>
      <c r="Z48" s="1">
        <v>900</v>
      </c>
      <c r="AA48" s="1" t="s">
        <v>19</v>
      </c>
      <c r="AB48" s="1" t="s">
        <v>28</v>
      </c>
      <c r="AC48" s="1">
        <v>8</v>
      </c>
    </row>
    <row r="49" spans="3:29" ht="57" customHeight="1">
      <c r="C49" s="6">
        <f t="shared" si="28"/>
        <v>483</v>
      </c>
      <c r="D49" s="61">
        <f t="shared" si="33"/>
        <v>161</v>
      </c>
      <c r="E49" s="61"/>
      <c r="F49" s="7">
        <f t="shared" si="29"/>
        <v>21</v>
      </c>
      <c r="G49" s="86">
        <f t="shared" si="30"/>
        <v>140</v>
      </c>
      <c r="H49" s="87"/>
      <c r="I49" s="8">
        <v>35</v>
      </c>
      <c r="J49" s="1">
        <v>4</v>
      </c>
      <c r="K49" s="1" t="s">
        <v>19</v>
      </c>
      <c r="L49" s="61">
        <f t="shared" ref="L49:L50" si="42">N49+O49</f>
        <v>161</v>
      </c>
      <c r="M49" s="61"/>
      <c r="N49" s="7">
        <f t="shared" si="40"/>
        <v>21</v>
      </c>
      <c r="O49" s="62">
        <f t="shared" si="31"/>
        <v>140</v>
      </c>
      <c r="P49" s="62"/>
      <c r="Q49" s="8">
        <v>35</v>
      </c>
      <c r="R49" s="1">
        <v>4</v>
      </c>
      <c r="S49" s="1" t="s">
        <v>19</v>
      </c>
      <c r="T49" s="61">
        <f t="shared" si="39"/>
        <v>161</v>
      </c>
      <c r="U49" s="61"/>
      <c r="V49" s="7">
        <f t="shared" si="41"/>
        <v>21</v>
      </c>
      <c r="W49" s="62">
        <f t="shared" si="32"/>
        <v>140</v>
      </c>
      <c r="X49" s="62"/>
      <c r="Y49" s="8">
        <v>35</v>
      </c>
      <c r="Z49" s="1">
        <v>4</v>
      </c>
      <c r="AA49" s="1" t="s">
        <v>19</v>
      </c>
      <c r="AB49" s="1" t="s">
        <v>29</v>
      </c>
      <c r="AC49" s="1">
        <v>9</v>
      </c>
    </row>
    <row r="50" spans="3:29" ht="57" customHeight="1">
      <c r="C50" s="6">
        <f t="shared" si="28"/>
        <v>923.45</v>
      </c>
      <c r="D50" s="61">
        <f t="shared" si="33"/>
        <v>316.25</v>
      </c>
      <c r="E50" s="61"/>
      <c r="F50" s="7">
        <f t="shared" si="29"/>
        <v>41.25</v>
      </c>
      <c r="G50" s="86">
        <f t="shared" si="30"/>
        <v>275</v>
      </c>
      <c r="H50" s="87"/>
      <c r="I50" s="8">
        <v>12.5</v>
      </c>
      <c r="J50" s="1">
        <v>22</v>
      </c>
      <c r="K50" s="1" t="s">
        <v>19</v>
      </c>
      <c r="L50" s="61">
        <f t="shared" si="42"/>
        <v>316.25</v>
      </c>
      <c r="M50" s="61"/>
      <c r="N50" s="7">
        <f t="shared" si="40"/>
        <v>41.25</v>
      </c>
      <c r="O50" s="62">
        <f t="shared" si="31"/>
        <v>275</v>
      </c>
      <c r="P50" s="62"/>
      <c r="Q50" s="8">
        <v>12.5</v>
      </c>
      <c r="R50" s="1">
        <v>22</v>
      </c>
      <c r="S50" s="1" t="s">
        <v>19</v>
      </c>
      <c r="T50" s="61">
        <f t="shared" si="39"/>
        <v>290.95</v>
      </c>
      <c r="U50" s="61"/>
      <c r="V50" s="7">
        <f t="shared" si="41"/>
        <v>37.949999999999996</v>
      </c>
      <c r="W50" s="62">
        <f t="shared" si="32"/>
        <v>253</v>
      </c>
      <c r="X50" s="62"/>
      <c r="Y50" s="8">
        <v>11.5</v>
      </c>
      <c r="Z50" s="1">
        <v>22</v>
      </c>
      <c r="AA50" s="1" t="s">
        <v>19</v>
      </c>
      <c r="AB50" s="1" t="s">
        <v>30</v>
      </c>
      <c r="AC50" s="1">
        <v>10</v>
      </c>
    </row>
    <row r="51" spans="3:29" ht="57" customHeight="1">
      <c r="C51" s="6">
        <f t="shared" si="28"/>
        <v>16621.525000000001</v>
      </c>
      <c r="D51" s="61">
        <f t="shared" si="33"/>
        <v>5593.0249999999996</v>
      </c>
      <c r="E51" s="61"/>
      <c r="F51" s="7">
        <f t="shared" si="29"/>
        <v>729.52499999999998</v>
      </c>
      <c r="G51" s="86">
        <f t="shared" si="30"/>
        <v>4863.5</v>
      </c>
      <c r="H51" s="87"/>
      <c r="I51" s="8">
        <v>35.5</v>
      </c>
      <c r="J51" s="1">
        <v>137</v>
      </c>
      <c r="K51" s="1" t="s">
        <v>19</v>
      </c>
      <c r="L51" s="61">
        <f>N51+O51</f>
        <v>5514.25</v>
      </c>
      <c r="M51" s="61"/>
      <c r="N51" s="7">
        <f>O51*0.15</f>
        <v>719.25</v>
      </c>
      <c r="O51" s="62">
        <f t="shared" si="31"/>
        <v>4795</v>
      </c>
      <c r="P51" s="62"/>
      <c r="Q51" s="8">
        <v>35</v>
      </c>
      <c r="R51" s="1">
        <v>137</v>
      </c>
      <c r="S51" s="1" t="s">
        <v>19</v>
      </c>
      <c r="T51" s="61">
        <f>V51+W51</f>
        <v>5514.25</v>
      </c>
      <c r="U51" s="61"/>
      <c r="V51" s="7">
        <f>W51*0.15</f>
        <v>719.25</v>
      </c>
      <c r="W51" s="62">
        <f t="shared" si="32"/>
        <v>4795</v>
      </c>
      <c r="X51" s="62"/>
      <c r="Y51" s="8">
        <v>35</v>
      </c>
      <c r="Z51" s="1">
        <v>137</v>
      </c>
      <c r="AA51" s="1" t="s">
        <v>19</v>
      </c>
      <c r="AB51" s="1" t="s">
        <v>31</v>
      </c>
      <c r="AC51" s="1">
        <v>11</v>
      </c>
    </row>
    <row r="52" spans="3:29" ht="57" customHeight="1">
      <c r="C52" s="6">
        <f t="shared" si="28"/>
        <v>15393.900000000001</v>
      </c>
      <c r="D52" s="61">
        <f t="shared" si="33"/>
        <v>5131.3</v>
      </c>
      <c r="E52" s="61"/>
      <c r="F52" s="7">
        <f t="shared" si="29"/>
        <v>669.3</v>
      </c>
      <c r="G52" s="86">
        <f t="shared" si="30"/>
        <v>4462</v>
      </c>
      <c r="H52" s="87"/>
      <c r="I52" s="8">
        <v>23</v>
      </c>
      <c r="J52" s="1">
        <v>194</v>
      </c>
      <c r="K52" s="1" t="s">
        <v>19</v>
      </c>
      <c r="L52" s="61">
        <f t="shared" ref="L52:L54" si="43">N52+O52</f>
        <v>5131.3</v>
      </c>
      <c r="M52" s="61"/>
      <c r="N52" s="7">
        <f>O52*0.15</f>
        <v>669.3</v>
      </c>
      <c r="O52" s="62">
        <f t="shared" si="31"/>
        <v>4462</v>
      </c>
      <c r="P52" s="62"/>
      <c r="Q52" s="8">
        <v>23</v>
      </c>
      <c r="R52" s="1">
        <v>194</v>
      </c>
      <c r="S52" s="1" t="s">
        <v>19</v>
      </c>
      <c r="T52" s="61">
        <f t="shared" ref="T52:T54" si="44">V52+W52</f>
        <v>5131.3</v>
      </c>
      <c r="U52" s="61"/>
      <c r="V52" s="7">
        <f>W52*0.15</f>
        <v>669.3</v>
      </c>
      <c r="W52" s="62">
        <f t="shared" si="32"/>
        <v>4462</v>
      </c>
      <c r="X52" s="62"/>
      <c r="Y52" s="8">
        <v>23</v>
      </c>
      <c r="Z52" s="1">
        <v>194</v>
      </c>
      <c r="AA52" s="1" t="s">
        <v>19</v>
      </c>
      <c r="AB52" s="1" t="s">
        <v>32</v>
      </c>
      <c r="AC52" s="1">
        <v>12</v>
      </c>
    </row>
    <row r="53" spans="3:29" ht="57" customHeight="1">
      <c r="C53" s="6">
        <f t="shared" si="28"/>
        <v>2846.25</v>
      </c>
      <c r="D53" s="61">
        <f t="shared" si="33"/>
        <v>948.75</v>
      </c>
      <c r="E53" s="61"/>
      <c r="F53" s="7">
        <f t="shared" si="29"/>
        <v>123.75</v>
      </c>
      <c r="G53" s="86">
        <f t="shared" si="30"/>
        <v>825</v>
      </c>
      <c r="H53" s="87"/>
      <c r="I53" s="8">
        <v>25</v>
      </c>
      <c r="J53" s="1">
        <v>33</v>
      </c>
      <c r="K53" s="1" t="s">
        <v>19</v>
      </c>
      <c r="L53" s="61">
        <f t="shared" si="43"/>
        <v>948.75</v>
      </c>
      <c r="M53" s="61"/>
      <c r="N53" s="7">
        <f t="shared" ref="N53:N54" si="45">O53*0.15</f>
        <v>123.75</v>
      </c>
      <c r="O53" s="62">
        <f t="shared" si="31"/>
        <v>825</v>
      </c>
      <c r="P53" s="62"/>
      <c r="Q53" s="8">
        <v>25</v>
      </c>
      <c r="R53" s="1">
        <v>33</v>
      </c>
      <c r="S53" s="1" t="s">
        <v>19</v>
      </c>
      <c r="T53" s="61">
        <f t="shared" si="44"/>
        <v>948.75</v>
      </c>
      <c r="U53" s="61"/>
      <c r="V53" s="7">
        <f t="shared" ref="V53:V54" si="46">W53*0.15</f>
        <v>123.75</v>
      </c>
      <c r="W53" s="62">
        <f t="shared" si="32"/>
        <v>825</v>
      </c>
      <c r="X53" s="62"/>
      <c r="Y53" s="8">
        <v>25</v>
      </c>
      <c r="Z53" s="1">
        <v>33</v>
      </c>
      <c r="AA53" s="1" t="s">
        <v>19</v>
      </c>
      <c r="AB53" s="1" t="s">
        <v>33</v>
      </c>
      <c r="AC53" s="1">
        <v>13</v>
      </c>
    </row>
    <row r="54" spans="3:29" ht="57" customHeight="1">
      <c r="C54" s="6">
        <f t="shared" si="28"/>
        <v>3616.75</v>
      </c>
      <c r="D54" s="61">
        <f t="shared" si="33"/>
        <v>1270.75</v>
      </c>
      <c r="E54" s="61"/>
      <c r="F54" s="7">
        <f t="shared" si="29"/>
        <v>165.75</v>
      </c>
      <c r="G54" s="86">
        <f t="shared" si="30"/>
        <v>1105</v>
      </c>
      <c r="H54" s="87"/>
      <c r="I54" s="8">
        <v>13</v>
      </c>
      <c r="J54" s="1">
        <v>85</v>
      </c>
      <c r="K54" s="1" t="s">
        <v>19</v>
      </c>
      <c r="L54" s="61">
        <f t="shared" si="43"/>
        <v>1221.875</v>
      </c>
      <c r="M54" s="61"/>
      <c r="N54" s="7">
        <f t="shared" si="45"/>
        <v>159.375</v>
      </c>
      <c r="O54" s="62">
        <f t="shared" si="31"/>
        <v>1062.5</v>
      </c>
      <c r="P54" s="62"/>
      <c r="Q54" s="8">
        <v>12.5</v>
      </c>
      <c r="R54" s="1">
        <v>85</v>
      </c>
      <c r="S54" s="1" t="s">
        <v>19</v>
      </c>
      <c r="T54" s="61">
        <f t="shared" si="44"/>
        <v>1124.125</v>
      </c>
      <c r="U54" s="61"/>
      <c r="V54" s="7">
        <f t="shared" si="46"/>
        <v>146.625</v>
      </c>
      <c r="W54" s="62">
        <f t="shared" si="32"/>
        <v>977.5</v>
      </c>
      <c r="X54" s="62"/>
      <c r="Y54" s="8">
        <v>11.5</v>
      </c>
      <c r="Z54" s="1">
        <v>85</v>
      </c>
      <c r="AA54" s="1" t="s">
        <v>19</v>
      </c>
      <c r="AB54" s="1" t="s">
        <v>30</v>
      </c>
      <c r="AC54" s="1">
        <v>14</v>
      </c>
    </row>
    <row r="55" spans="3:29" ht="57" customHeight="1">
      <c r="D55" s="58">
        <f>SUM(C41,C42,C43,C44,C45,C46,C47,C48,C49,C50,C51,C52,C53,C54,)*0.85</f>
        <v>153081.87625</v>
      </c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76" t="s">
        <v>114</v>
      </c>
      <c r="AA55" s="76"/>
      <c r="AB55" s="76"/>
      <c r="AC55" s="77"/>
    </row>
    <row r="56" spans="3:29" ht="57" customHeight="1">
      <c r="D56" s="78">
        <f>D55*0.15</f>
        <v>22962.281437499998</v>
      </c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80"/>
      <c r="Z56" s="81" t="s">
        <v>113</v>
      </c>
      <c r="AA56" s="81"/>
      <c r="AB56" s="81"/>
      <c r="AC56" s="82"/>
    </row>
    <row r="57" spans="3:29" ht="57" customHeight="1">
      <c r="D57" s="83">
        <f>D55+D56</f>
        <v>176044.1576875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5"/>
      <c r="Z57" s="81" t="s">
        <v>115</v>
      </c>
      <c r="AA57" s="81"/>
      <c r="AB57" s="81"/>
      <c r="AC57" s="82"/>
    </row>
    <row r="60" spans="3:29" ht="57" customHeight="1" thickBot="1"/>
    <row r="61" spans="3:29" ht="57" customHeight="1" thickBot="1">
      <c r="D61" s="70" t="s">
        <v>100</v>
      </c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9"/>
      <c r="AC61" s="71"/>
    </row>
    <row r="62" spans="3:29" ht="57" customHeight="1" thickBot="1">
      <c r="D62" s="90" t="s">
        <v>11</v>
      </c>
      <c r="E62" s="91"/>
      <c r="F62" s="91"/>
      <c r="G62" s="91"/>
      <c r="H62" s="91"/>
      <c r="I62" s="91"/>
      <c r="J62" s="91"/>
      <c r="K62" s="92"/>
      <c r="L62" s="93" t="s">
        <v>10</v>
      </c>
      <c r="M62" s="94"/>
      <c r="N62" s="94"/>
      <c r="O62" s="94"/>
      <c r="P62" s="94"/>
      <c r="Q62" s="94"/>
      <c r="R62" s="95"/>
      <c r="S62" s="96"/>
      <c r="T62" s="97" t="s">
        <v>9</v>
      </c>
      <c r="U62" s="98"/>
      <c r="V62" s="98"/>
      <c r="W62" s="98"/>
      <c r="X62" s="98"/>
      <c r="Y62" s="98"/>
      <c r="Z62" s="98"/>
      <c r="AA62" s="98"/>
      <c r="AB62" s="59" t="s">
        <v>1</v>
      </c>
      <c r="AC62" s="67" t="s">
        <v>0</v>
      </c>
    </row>
    <row r="63" spans="3:29" ht="57" customHeight="1" thickBot="1">
      <c r="C63" s="68" t="s">
        <v>12</v>
      </c>
      <c r="D63" s="70" t="s">
        <v>7</v>
      </c>
      <c r="E63" s="71"/>
      <c r="F63" s="5" t="s">
        <v>8</v>
      </c>
      <c r="G63" s="70" t="s">
        <v>4</v>
      </c>
      <c r="H63" s="71"/>
      <c r="I63" s="3" t="s">
        <v>6</v>
      </c>
      <c r="J63" s="72" t="s">
        <v>2</v>
      </c>
      <c r="K63" s="72" t="s">
        <v>5</v>
      </c>
      <c r="L63" s="70" t="s">
        <v>7</v>
      </c>
      <c r="M63" s="71"/>
      <c r="N63" s="5" t="s">
        <v>8</v>
      </c>
      <c r="O63" s="70" t="s">
        <v>4</v>
      </c>
      <c r="P63" s="71"/>
      <c r="Q63" s="3" t="s">
        <v>6</v>
      </c>
      <c r="R63" s="59" t="s">
        <v>2</v>
      </c>
      <c r="S63" s="67" t="s">
        <v>5</v>
      </c>
      <c r="T63" s="70" t="s">
        <v>7</v>
      </c>
      <c r="U63" s="71"/>
      <c r="V63" s="5" t="s">
        <v>8</v>
      </c>
      <c r="W63" s="70" t="s">
        <v>4</v>
      </c>
      <c r="X63" s="71"/>
      <c r="Y63" s="3" t="s">
        <v>6</v>
      </c>
      <c r="Z63" s="63" t="s">
        <v>2</v>
      </c>
      <c r="AA63" s="65" t="s">
        <v>5</v>
      </c>
      <c r="AB63" s="59"/>
      <c r="AC63" s="74"/>
    </row>
    <row r="64" spans="3:29" ht="57" customHeight="1">
      <c r="C64" s="69"/>
      <c r="D64" s="65" t="s">
        <v>3</v>
      </c>
      <c r="E64" s="67"/>
      <c r="F64" s="4" t="s">
        <v>3</v>
      </c>
      <c r="G64" s="65" t="s">
        <v>3</v>
      </c>
      <c r="H64" s="67"/>
      <c r="I64" s="3" t="s">
        <v>3</v>
      </c>
      <c r="J64" s="73"/>
      <c r="K64" s="73"/>
      <c r="L64" s="65" t="s">
        <v>3</v>
      </c>
      <c r="M64" s="67"/>
      <c r="N64" s="4" t="s">
        <v>3</v>
      </c>
      <c r="O64" s="65" t="s">
        <v>3</v>
      </c>
      <c r="P64" s="67"/>
      <c r="Q64" s="3" t="s">
        <v>3</v>
      </c>
      <c r="R64" s="59"/>
      <c r="S64" s="74"/>
      <c r="T64" s="65" t="s">
        <v>3</v>
      </c>
      <c r="U64" s="67"/>
      <c r="V64" s="4" t="s">
        <v>3</v>
      </c>
      <c r="W64" s="65" t="s">
        <v>3</v>
      </c>
      <c r="X64" s="67"/>
      <c r="Y64" s="3" t="s">
        <v>3</v>
      </c>
      <c r="Z64" s="75"/>
      <c r="AA64" s="66"/>
      <c r="AB64" s="59"/>
      <c r="AC64" s="74"/>
    </row>
    <row r="65" spans="3:29" ht="57" customHeight="1">
      <c r="C65" s="6">
        <f t="shared" ref="C65:C96" si="47">D65+L65+T65</f>
        <v>517155</v>
      </c>
      <c r="D65" s="61">
        <f>F65+G65</f>
        <v>175832.7</v>
      </c>
      <c r="E65" s="61"/>
      <c r="F65" s="7">
        <f>G65*0.15</f>
        <v>22934.7</v>
      </c>
      <c r="G65" s="62">
        <f t="shared" ref="G65:G96" si="48">I65*J65</f>
        <v>152898</v>
      </c>
      <c r="H65" s="62"/>
      <c r="I65" s="8" t="s">
        <v>125</v>
      </c>
      <c r="J65" s="1">
        <v>4497</v>
      </c>
      <c r="K65" s="10" t="s">
        <v>97</v>
      </c>
      <c r="L65" s="61">
        <f>N65+O65</f>
        <v>170661.15</v>
      </c>
      <c r="M65" s="61"/>
      <c r="N65" s="7">
        <f>O65*0.15</f>
        <v>22260.149999999998</v>
      </c>
      <c r="O65" s="62">
        <f t="shared" ref="O65:O96" si="49">Q65*R65</f>
        <v>148401</v>
      </c>
      <c r="P65" s="62"/>
      <c r="Q65" s="8" t="s">
        <v>35</v>
      </c>
      <c r="R65" s="11">
        <v>4497</v>
      </c>
      <c r="S65" s="10" t="s">
        <v>97</v>
      </c>
      <c r="T65" s="61">
        <f>V65+W65</f>
        <v>170661.15</v>
      </c>
      <c r="U65" s="61"/>
      <c r="V65" s="7">
        <f>W65*0.15</f>
        <v>22260.149999999998</v>
      </c>
      <c r="W65" s="62">
        <f t="shared" ref="W65:W96" si="50">Y65*Z65</f>
        <v>148401</v>
      </c>
      <c r="X65" s="62"/>
      <c r="Y65" s="8" t="s">
        <v>35</v>
      </c>
      <c r="Z65" s="8">
        <v>4497</v>
      </c>
      <c r="AA65" s="12" t="s">
        <v>97</v>
      </c>
      <c r="AB65" s="11" t="s">
        <v>37</v>
      </c>
      <c r="AC65" s="10">
        <v>1</v>
      </c>
    </row>
    <row r="66" spans="3:29" ht="57" customHeight="1">
      <c r="C66" s="6">
        <f t="shared" si="47"/>
        <v>582705</v>
      </c>
      <c r="D66" s="61">
        <f t="shared" ref="D66:D119" si="51">F66+G66</f>
        <v>194235</v>
      </c>
      <c r="E66" s="61"/>
      <c r="F66" s="7">
        <f t="shared" ref="F66:F119" si="52">G66*0.15</f>
        <v>25335</v>
      </c>
      <c r="G66" s="62">
        <f t="shared" si="48"/>
        <v>168900</v>
      </c>
      <c r="H66" s="62"/>
      <c r="I66" s="8" t="s">
        <v>117</v>
      </c>
      <c r="J66" s="1">
        <v>3378</v>
      </c>
      <c r="K66" s="10" t="s">
        <v>97</v>
      </c>
      <c r="L66" s="61">
        <f t="shared" ref="L66:L119" si="53">N66+O66</f>
        <v>194235</v>
      </c>
      <c r="M66" s="61"/>
      <c r="N66" s="7">
        <f t="shared" ref="N66:N119" si="54">O66*0.15</f>
        <v>25335</v>
      </c>
      <c r="O66" s="62">
        <f t="shared" si="49"/>
        <v>168900</v>
      </c>
      <c r="P66" s="62"/>
      <c r="Q66" s="8" t="s">
        <v>117</v>
      </c>
      <c r="R66" s="11">
        <v>3378</v>
      </c>
      <c r="S66" s="10" t="s">
        <v>97</v>
      </c>
      <c r="T66" s="61">
        <f t="shared" ref="T66:T119" si="55">V66+W66</f>
        <v>194235</v>
      </c>
      <c r="U66" s="61"/>
      <c r="V66" s="7">
        <f t="shared" ref="V66:V119" si="56">W66*0.15</f>
        <v>25335</v>
      </c>
      <c r="W66" s="62">
        <f t="shared" si="50"/>
        <v>168900</v>
      </c>
      <c r="X66" s="62"/>
      <c r="Y66" s="8" t="s">
        <v>117</v>
      </c>
      <c r="Z66" s="8">
        <v>3378</v>
      </c>
      <c r="AA66" s="12" t="s">
        <v>97</v>
      </c>
      <c r="AB66" s="11" t="s">
        <v>38</v>
      </c>
      <c r="AC66" s="10">
        <v>2</v>
      </c>
    </row>
    <row r="67" spans="3:29" ht="57" customHeight="1">
      <c r="C67" s="6">
        <f t="shared" si="47"/>
        <v>115630.20000000001</v>
      </c>
      <c r="D67" s="61">
        <f t="shared" si="51"/>
        <v>38543.4</v>
      </c>
      <c r="E67" s="61"/>
      <c r="F67" s="7">
        <f t="shared" si="52"/>
        <v>5027.3999999999996</v>
      </c>
      <c r="G67" s="62">
        <f t="shared" si="48"/>
        <v>33516</v>
      </c>
      <c r="H67" s="62"/>
      <c r="I67" s="8" t="s">
        <v>34</v>
      </c>
      <c r="J67" s="1">
        <v>1197</v>
      </c>
      <c r="K67" s="10" t="s">
        <v>97</v>
      </c>
      <c r="L67" s="61">
        <f t="shared" si="53"/>
        <v>38543.4</v>
      </c>
      <c r="M67" s="61"/>
      <c r="N67" s="7">
        <f t="shared" si="54"/>
        <v>5027.3999999999996</v>
      </c>
      <c r="O67" s="62">
        <f t="shared" si="49"/>
        <v>33516</v>
      </c>
      <c r="P67" s="62"/>
      <c r="Q67" s="8" t="s">
        <v>34</v>
      </c>
      <c r="R67" s="11">
        <v>1197</v>
      </c>
      <c r="S67" s="10" t="s">
        <v>97</v>
      </c>
      <c r="T67" s="61">
        <f t="shared" si="55"/>
        <v>38543.4</v>
      </c>
      <c r="U67" s="61"/>
      <c r="V67" s="7">
        <f t="shared" si="56"/>
        <v>5027.3999999999996</v>
      </c>
      <c r="W67" s="62">
        <f t="shared" si="50"/>
        <v>33516</v>
      </c>
      <c r="X67" s="62"/>
      <c r="Y67" s="8" t="s">
        <v>34</v>
      </c>
      <c r="Z67" s="8">
        <v>1197</v>
      </c>
      <c r="AA67" s="12" t="s">
        <v>97</v>
      </c>
      <c r="AB67" s="11" t="s">
        <v>39</v>
      </c>
      <c r="AC67" s="10">
        <v>3</v>
      </c>
    </row>
    <row r="68" spans="3:29" ht="57" customHeight="1">
      <c r="C68" s="6">
        <f t="shared" si="47"/>
        <v>87229.799999999988</v>
      </c>
      <c r="D68" s="61">
        <f t="shared" si="51"/>
        <v>29076.6</v>
      </c>
      <c r="E68" s="61"/>
      <c r="F68" s="7">
        <f t="shared" si="52"/>
        <v>3792.6</v>
      </c>
      <c r="G68" s="62">
        <f t="shared" si="48"/>
        <v>25284</v>
      </c>
      <c r="H68" s="62"/>
      <c r="I68" s="8" t="s">
        <v>34</v>
      </c>
      <c r="J68" s="1">
        <v>903</v>
      </c>
      <c r="K68" s="10" t="s">
        <v>97</v>
      </c>
      <c r="L68" s="61">
        <f t="shared" si="53"/>
        <v>29076.6</v>
      </c>
      <c r="M68" s="61"/>
      <c r="N68" s="7">
        <f t="shared" si="54"/>
        <v>3792.6</v>
      </c>
      <c r="O68" s="62">
        <f t="shared" si="49"/>
        <v>25284</v>
      </c>
      <c r="P68" s="62"/>
      <c r="Q68" s="8" t="s">
        <v>34</v>
      </c>
      <c r="R68" s="11">
        <v>903</v>
      </c>
      <c r="S68" s="10" t="s">
        <v>97</v>
      </c>
      <c r="T68" s="61">
        <f t="shared" si="55"/>
        <v>29076.6</v>
      </c>
      <c r="U68" s="61"/>
      <c r="V68" s="7">
        <f t="shared" si="56"/>
        <v>3792.6</v>
      </c>
      <c r="W68" s="62">
        <f t="shared" si="50"/>
        <v>25284</v>
      </c>
      <c r="X68" s="62"/>
      <c r="Y68" s="8" t="s">
        <v>34</v>
      </c>
      <c r="Z68" s="8">
        <v>903</v>
      </c>
      <c r="AA68" s="12" t="s">
        <v>97</v>
      </c>
      <c r="AB68" s="11" t="s">
        <v>40</v>
      </c>
      <c r="AC68" s="10">
        <v>4</v>
      </c>
    </row>
    <row r="69" spans="3:29" ht="57" customHeight="1">
      <c r="C69" s="6">
        <f t="shared" si="47"/>
        <v>43056</v>
      </c>
      <c r="D69" s="61">
        <f t="shared" si="51"/>
        <v>14352</v>
      </c>
      <c r="E69" s="61"/>
      <c r="F69" s="7">
        <f t="shared" si="52"/>
        <v>1872</v>
      </c>
      <c r="G69" s="62">
        <f t="shared" si="48"/>
        <v>12480</v>
      </c>
      <c r="H69" s="62"/>
      <c r="I69" s="8" t="s">
        <v>118</v>
      </c>
      <c r="J69" s="1">
        <v>312</v>
      </c>
      <c r="K69" s="10" t="s">
        <v>97</v>
      </c>
      <c r="L69" s="61">
        <f t="shared" si="53"/>
        <v>14352</v>
      </c>
      <c r="M69" s="61"/>
      <c r="N69" s="7">
        <f t="shared" si="54"/>
        <v>1872</v>
      </c>
      <c r="O69" s="62">
        <f t="shared" si="49"/>
        <v>12480</v>
      </c>
      <c r="P69" s="62"/>
      <c r="Q69" s="8" t="s">
        <v>118</v>
      </c>
      <c r="R69" s="11">
        <v>312</v>
      </c>
      <c r="S69" s="10" t="s">
        <v>97</v>
      </c>
      <c r="T69" s="61">
        <f t="shared" si="55"/>
        <v>14352</v>
      </c>
      <c r="U69" s="61"/>
      <c r="V69" s="7">
        <f t="shared" si="56"/>
        <v>1872</v>
      </c>
      <c r="W69" s="62">
        <f t="shared" si="50"/>
        <v>12480</v>
      </c>
      <c r="X69" s="62"/>
      <c r="Y69" s="8" t="s">
        <v>118</v>
      </c>
      <c r="Z69" s="8">
        <v>312</v>
      </c>
      <c r="AA69" s="12" t="s">
        <v>97</v>
      </c>
      <c r="AB69" s="11" t="s">
        <v>41</v>
      </c>
      <c r="AC69" s="10">
        <v>5</v>
      </c>
    </row>
    <row r="70" spans="3:29" ht="57" customHeight="1">
      <c r="C70" s="6">
        <f t="shared" si="47"/>
        <v>82344.600000000006</v>
      </c>
      <c r="D70" s="61">
        <f t="shared" si="51"/>
        <v>27448.2</v>
      </c>
      <c r="E70" s="61"/>
      <c r="F70" s="7">
        <f t="shared" si="52"/>
        <v>3580.2</v>
      </c>
      <c r="G70" s="62">
        <f t="shared" si="48"/>
        <v>23868</v>
      </c>
      <c r="H70" s="62"/>
      <c r="I70" s="8" t="s">
        <v>99</v>
      </c>
      <c r="J70" s="1">
        <v>612</v>
      </c>
      <c r="K70" s="10" t="s">
        <v>97</v>
      </c>
      <c r="L70" s="61">
        <f t="shared" si="53"/>
        <v>27448.2</v>
      </c>
      <c r="M70" s="61"/>
      <c r="N70" s="7">
        <f t="shared" si="54"/>
        <v>3580.2</v>
      </c>
      <c r="O70" s="62">
        <f t="shared" si="49"/>
        <v>23868</v>
      </c>
      <c r="P70" s="62"/>
      <c r="Q70" s="8" t="s">
        <v>99</v>
      </c>
      <c r="R70" s="11">
        <v>612</v>
      </c>
      <c r="S70" s="10" t="s">
        <v>97</v>
      </c>
      <c r="T70" s="61">
        <f t="shared" si="55"/>
        <v>27448.2</v>
      </c>
      <c r="U70" s="61"/>
      <c r="V70" s="7">
        <f t="shared" si="56"/>
        <v>3580.2</v>
      </c>
      <c r="W70" s="62">
        <f t="shared" si="50"/>
        <v>23868</v>
      </c>
      <c r="X70" s="62"/>
      <c r="Y70" s="8" t="s">
        <v>99</v>
      </c>
      <c r="Z70" s="8">
        <v>612</v>
      </c>
      <c r="AA70" s="12" t="s">
        <v>97</v>
      </c>
      <c r="AB70" s="11" t="s">
        <v>42</v>
      </c>
      <c r="AC70" s="10">
        <v>6</v>
      </c>
    </row>
    <row r="71" spans="3:29" ht="57" customHeight="1">
      <c r="C71" s="6">
        <f t="shared" si="47"/>
        <v>43997.850000000006</v>
      </c>
      <c r="D71" s="61">
        <f t="shared" si="51"/>
        <v>14665.95</v>
      </c>
      <c r="E71" s="61"/>
      <c r="F71" s="7">
        <f t="shared" si="52"/>
        <v>1912.9499999999998</v>
      </c>
      <c r="G71" s="62">
        <f t="shared" si="48"/>
        <v>12753</v>
      </c>
      <c r="H71" s="62"/>
      <c r="I71" s="8" t="s">
        <v>99</v>
      </c>
      <c r="J71" s="1">
        <v>327</v>
      </c>
      <c r="K71" s="10" t="s">
        <v>97</v>
      </c>
      <c r="L71" s="61">
        <f t="shared" si="53"/>
        <v>14665.95</v>
      </c>
      <c r="M71" s="61"/>
      <c r="N71" s="7">
        <f t="shared" si="54"/>
        <v>1912.9499999999998</v>
      </c>
      <c r="O71" s="62">
        <f t="shared" si="49"/>
        <v>12753</v>
      </c>
      <c r="P71" s="62"/>
      <c r="Q71" s="8" t="s">
        <v>99</v>
      </c>
      <c r="R71" s="11">
        <v>327</v>
      </c>
      <c r="S71" s="10" t="s">
        <v>97</v>
      </c>
      <c r="T71" s="61">
        <f t="shared" si="55"/>
        <v>14665.95</v>
      </c>
      <c r="U71" s="61"/>
      <c r="V71" s="7">
        <f t="shared" si="56"/>
        <v>1912.9499999999998</v>
      </c>
      <c r="W71" s="62">
        <f t="shared" si="50"/>
        <v>12753</v>
      </c>
      <c r="X71" s="62"/>
      <c r="Y71" s="8" t="s">
        <v>99</v>
      </c>
      <c r="Z71" s="8">
        <v>327</v>
      </c>
      <c r="AA71" s="12" t="s">
        <v>97</v>
      </c>
      <c r="AB71" s="11" t="s">
        <v>43</v>
      </c>
      <c r="AC71" s="10">
        <v>7</v>
      </c>
    </row>
    <row r="72" spans="3:29" ht="57" customHeight="1">
      <c r="C72" s="6">
        <f t="shared" si="47"/>
        <v>60547.5</v>
      </c>
      <c r="D72" s="61">
        <f t="shared" si="51"/>
        <v>20182.5</v>
      </c>
      <c r="E72" s="61"/>
      <c r="F72" s="7">
        <f t="shared" si="52"/>
        <v>2632.5</v>
      </c>
      <c r="G72" s="62">
        <f t="shared" si="48"/>
        <v>17550</v>
      </c>
      <c r="H72" s="62"/>
      <c r="I72" s="8" t="s">
        <v>99</v>
      </c>
      <c r="J72" s="1">
        <v>450</v>
      </c>
      <c r="K72" s="10" t="s">
        <v>97</v>
      </c>
      <c r="L72" s="61">
        <f t="shared" si="53"/>
        <v>20182.5</v>
      </c>
      <c r="M72" s="61"/>
      <c r="N72" s="7">
        <f t="shared" si="54"/>
        <v>2632.5</v>
      </c>
      <c r="O72" s="62">
        <f t="shared" si="49"/>
        <v>17550</v>
      </c>
      <c r="P72" s="62"/>
      <c r="Q72" s="8" t="s">
        <v>99</v>
      </c>
      <c r="R72" s="11">
        <v>450</v>
      </c>
      <c r="S72" s="10" t="s">
        <v>97</v>
      </c>
      <c r="T72" s="61">
        <f t="shared" si="55"/>
        <v>20182.5</v>
      </c>
      <c r="U72" s="61"/>
      <c r="V72" s="7">
        <f t="shared" si="56"/>
        <v>2632.5</v>
      </c>
      <c r="W72" s="62">
        <f t="shared" si="50"/>
        <v>17550</v>
      </c>
      <c r="X72" s="62"/>
      <c r="Y72" s="8" t="s">
        <v>99</v>
      </c>
      <c r="Z72" s="8">
        <v>450</v>
      </c>
      <c r="AA72" s="12" t="s">
        <v>97</v>
      </c>
      <c r="AB72" s="11" t="s">
        <v>44</v>
      </c>
      <c r="AC72" s="10">
        <v>8</v>
      </c>
    </row>
    <row r="73" spans="3:29" ht="57" customHeight="1">
      <c r="C73" s="6">
        <f t="shared" si="47"/>
        <v>42952.5</v>
      </c>
      <c r="D73" s="61">
        <f t="shared" si="51"/>
        <v>14317.5</v>
      </c>
      <c r="E73" s="61"/>
      <c r="F73" s="7">
        <f t="shared" si="52"/>
        <v>1867.5</v>
      </c>
      <c r="G73" s="62">
        <f t="shared" si="48"/>
        <v>12450</v>
      </c>
      <c r="H73" s="62"/>
      <c r="I73" s="8" t="s">
        <v>117</v>
      </c>
      <c r="J73" s="1">
        <v>249</v>
      </c>
      <c r="K73" s="10" t="s">
        <v>97</v>
      </c>
      <c r="L73" s="61">
        <f t="shared" si="53"/>
        <v>14317.5</v>
      </c>
      <c r="M73" s="61"/>
      <c r="N73" s="7">
        <f t="shared" si="54"/>
        <v>1867.5</v>
      </c>
      <c r="O73" s="62">
        <f t="shared" si="49"/>
        <v>12450</v>
      </c>
      <c r="P73" s="62"/>
      <c r="Q73" s="8" t="s">
        <v>117</v>
      </c>
      <c r="R73" s="11">
        <v>249</v>
      </c>
      <c r="S73" s="10" t="s">
        <v>97</v>
      </c>
      <c r="T73" s="61">
        <f t="shared" si="55"/>
        <v>14317.5</v>
      </c>
      <c r="U73" s="61"/>
      <c r="V73" s="7">
        <f t="shared" si="56"/>
        <v>1867.5</v>
      </c>
      <c r="W73" s="62">
        <f t="shared" si="50"/>
        <v>12450</v>
      </c>
      <c r="X73" s="62"/>
      <c r="Y73" s="8" t="s">
        <v>117</v>
      </c>
      <c r="Z73" s="8">
        <v>249</v>
      </c>
      <c r="AA73" s="12" t="s">
        <v>97</v>
      </c>
      <c r="AB73" s="11" t="s">
        <v>45</v>
      </c>
      <c r="AC73" s="10">
        <v>9</v>
      </c>
    </row>
    <row r="74" spans="3:29" ht="57" customHeight="1">
      <c r="C74" s="6">
        <f t="shared" si="47"/>
        <v>49680</v>
      </c>
      <c r="D74" s="61">
        <f t="shared" si="51"/>
        <v>16560</v>
      </c>
      <c r="E74" s="61"/>
      <c r="F74" s="7">
        <f t="shared" si="52"/>
        <v>2160</v>
      </c>
      <c r="G74" s="62">
        <f t="shared" si="48"/>
        <v>14400</v>
      </c>
      <c r="H74" s="62"/>
      <c r="I74" s="8" t="s">
        <v>117</v>
      </c>
      <c r="J74" s="1">
        <v>288</v>
      </c>
      <c r="K74" s="10" t="s">
        <v>97</v>
      </c>
      <c r="L74" s="61">
        <f t="shared" si="53"/>
        <v>16560</v>
      </c>
      <c r="M74" s="61"/>
      <c r="N74" s="7">
        <f t="shared" si="54"/>
        <v>2160</v>
      </c>
      <c r="O74" s="62">
        <f t="shared" si="49"/>
        <v>14400</v>
      </c>
      <c r="P74" s="62"/>
      <c r="Q74" s="8" t="s">
        <v>117</v>
      </c>
      <c r="R74" s="11">
        <v>288</v>
      </c>
      <c r="S74" s="10" t="s">
        <v>97</v>
      </c>
      <c r="T74" s="61">
        <f t="shared" si="55"/>
        <v>16560</v>
      </c>
      <c r="U74" s="61"/>
      <c r="V74" s="7">
        <f t="shared" si="56"/>
        <v>2160</v>
      </c>
      <c r="W74" s="62">
        <f t="shared" si="50"/>
        <v>14400</v>
      </c>
      <c r="X74" s="62"/>
      <c r="Y74" s="8" t="s">
        <v>117</v>
      </c>
      <c r="Z74" s="8">
        <v>288</v>
      </c>
      <c r="AA74" s="12" t="s">
        <v>97</v>
      </c>
      <c r="AB74" s="11" t="s">
        <v>46</v>
      </c>
      <c r="AC74" s="10">
        <v>10</v>
      </c>
    </row>
    <row r="75" spans="3:29" ht="57" customHeight="1">
      <c r="C75" s="6">
        <f t="shared" si="47"/>
        <v>113353.20000000001</v>
      </c>
      <c r="D75" s="61">
        <f t="shared" si="51"/>
        <v>37784.400000000001</v>
      </c>
      <c r="E75" s="61"/>
      <c r="F75" s="7">
        <f t="shared" si="52"/>
        <v>4928.3999999999996</v>
      </c>
      <c r="G75" s="62">
        <f t="shared" si="48"/>
        <v>32856</v>
      </c>
      <c r="H75" s="62"/>
      <c r="I75" s="8" t="s">
        <v>119</v>
      </c>
      <c r="J75" s="1">
        <v>444</v>
      </c>
      <c r="K75" s="10" t="s">
        <v>97</v>
      </c>
      <c r="L75" s="61">
        <f t="shared" si="53"/>
        <v>37784.400000000001</v>
      </c>
      <c r="M75" s="61"/>
      <c r="N75" s="7">
        <f t="shared" si="54"/>
        <v>4928.3999999999996</v>
      </c>
      <c r="O75" s="62">
        <f t="shared" si="49"/>
        <v>32856</v>
      </c>
      <c r="P75" s="62"/>
      <c r="Q75" s="8" t="s">
        <v>119</v>
      </c>
      <c r="R75" s="11">
        <v>444</v>
      </c>
      <c r="S75" s="10" t="s">
        <v>97</v>
      </c>
      <c r="T75" s="61">
        <f t="shared" si="55"/>
        <v>37784.400000000001</v>
      </c>
      <c r="U75" s="61"/>
      <c r="V75" s="7">
        <f t="shared" si="56"/>
        <v>4928.3999999999996</v>
      </c>
      <c r="W75" s="62">
        <f t="shared" si="50"/>
        <v>32856</v>
      </c>
      <c r="X75" s="62"/>
      <c r="Y75" s="8" t="s">
        <v>119</v>
      </c>
      <c r="Z75" s="8">
        <v>444</v>
      </c>
      <c r="AA75" s="12" t="s">
        <v>97</v>
      </c>
      <c r="AB75" s="11" t="s">
        <v>47</v>
      </c>
      <c r="AC75" s="10">
        <v>11</v>
      </c>
    </row>
    <row r="76" spans="3:29" ht="57" customHeight="1">
      <c r="C76" s="6">
        <f t="shared" si="47"/>
        <v>173362.5</v>
      </c>
      <c r="D76" s="61">
        <f t="shared" si="51"/>
        <v>57787.5</v>
      </c>
      <c r="E76" s="61"/>
      <c r="F76" s="7">
        <f t="shared" si="52"/>
        <v>7537.5</v>
      </c>
      <c r="G76" s="62">
        <f t="shared" si="48"/>
        <v>50250</v>
      </c>
      <c r="H76" s="62"/>
      <c r="I76" s="8" t="s">
        <v>120</v>
      </c>
      <c r="J76" s="1">
        <v>402</v>
      </c>
      <c r="K76" s="10" t="s">
        <v>97</v>
      </c>
      <c r="L76" s="61">
        <f t="shared" si="53"/>
        <v>57787.5</v>
      </c>
      <c r="M76" s="61"/>
      <c r="N76" s="7">
        <f t="shared" si="54"/>
        <v>7537.5</v>
      </c>
      <c r="O76" s="62">
        <f t="shared" si="49"/>
        <v>50250</v>
      </c>
      <c r="P76" s="62"/>
      <c r="Q76" s="8" t="s">
        <v>120</v>
      </c>
      <c r="R76" s="11">
        <v>402</v>
      </c>
      <c r="S76" s="10" t="s">
        <v>97</v>
      </c>
      <c r="T76" s="61">
        <f t="shared" si="55"/>
        <v>57787.5</v>
      </c>
      <c r="U76" s="61"/>
      <c r="V76" s="7">
        <f t="shared" si="56"/>
        <v>7537.5</v>
      </c>
      <c r="W76" s="62">
        <f t="shared" si="50"/>
        <v>50250</v>
      </c>
      <c r="X76" s="62"/>
      <c r="Y76" s="8" t="s">
        <v>120</v>
      </c>
      <c r="Z76" s="8">
        <v>402</v>
      </c>
      <c r="AA76" s="12" t="s">
        <v>97</v>
      </c>
      <c r="AB76" s="11" t="s">
        <v>48</v>
      </c>
      <c r="AC76" s="10">
        <v>12</v>
      </c>
    </row>
    <row r="77" spans="3:29" ht="57" customHeight="1">
      <c r="C77" s="6">
        <f t="shared" si="47"/>
        <v>63093.600000000006</v>
      </c>
      <c r="D77" s="61">
        <f t="shared" si="51"/>
        <v>21031.200000000001</v>
      </c>
      <c r="E77" s="61"/>
      <c r="F77" s="7">
        <f t="shared" si="52"/>
        <v>2743.2</v>
      </c>
      <c r="G77" s="62">
        <f t="shared" si="48"/>
        <v>18288</v>
      </c>
      <c r="H77" s="62"/>
      <c r="I77" s="8" t="s">
        <v>121</v>
      </c>
      <c r="J77" s="1">
        <v>381</v>
      </c>
      <c r="K77" s="10" t="s">
        <v>97</v>
      </c>
      <c r="L77" s="61">
        <f t="shared" si="53"/>
        <v>21031.200000000001</v>
      </c>
      <c r="M77" s="61"/>
      <c r="N77" s="7">
        <f t="shared" si="54"/>
        <v>2743.2</v>
      </c>
      <c r="O77" s="62">
        <f t="shared" si="49"/>
        <v>18288</v>
      </c>
      <c r="P77" s="62"/>
      <c r="Q77" s="8" t="s">
        <v>121</v>
      </c>
      <c r="R77" s="11">
        <v>381</v>
      </c>
      <c r="S77" s="10" t="s">
        <v>97</v>
      </c>
      <c r="T77" s="61">
        <f t="shared" si="55"/>
        <v>21031.200000000001</v>
      </c>
      <c r="U77" s="61"/>
      <c r="V77" s="7">
        <f t="shared" si="56"/>
        <v>2743.2</v>
      </c>
      <c r="W77" s="62">
        <f t="shared" si="50"/>
        <v>18288</v>
      </c>
      <c r="X77" s="62"/>
      <c r="Y77" s="8" t="s">
        <v>121</v>
      </c>
      <c r="Z77" s="8">
        <v>381</v>
      </c>
      <c r="AA77" s="12" t="s">
        <v>97</v>
      </c>
      <c r="AB77" s="11" t="s">
        <v>49</v>
      </c>
      <c r="AC77" s="10">
        <v>13</v>
      </c>
    </row>
    <row r="78" spans="3:29" ht="57" customHeight="1">
      <c r="C78" s="6">
        <f t="shared" si="47"/>
        <v>41172.300000000003</v>
      </c>
      <c r="D78" s="61">
        <f t="shared" si="51"/>
        <v>13724.1</v>
      </c>
      <c r="E78" s="61"/>
      <c r="F78" s="7">
        <f t="shared" si="52"/>
        <v>1790.1</v>
      </c>
      <c r="G78" s="62">
        <f t="shared" si="48"/>
        <v>11934</v>
      </c>
      <c r="H78" s="62"/>
      <c r="I78" s="8" t="s">
        <v>99</v>
      </c>
      <c r="J78" s="1">
        <v>306</v>
      </c>
      <c r="K78" s="10" t="s">
        <v>97</v>
      </c>
      <c r="L78" s="61">
        <f t="shared" si="53"/>
        <v>13724.1</v>
      </c>
      <c r="M78" s="61"/>
      <c r="N78" s="7">
        <f t="shared" si="54"/>
        <v>1790.1</v>
      </c>
      <c r="O78" s="62">
        <f t="shared" si="49"/>
        <v>11934</v>
      </c>
      <c r="P78" s="62"/>
      <c r="Q78" s="8" t="s">
        <v>99</v>
      </c>
      <c r="R78" s="11">
        <v>306</v>
      </c>
      <c r="S78" s="10" t="s">
        <v>97</v>
      </c>
      <c r="T78" s="61">
        <f t="shared" si="55"/>
        <v>13724.1</v>
      </c>
      <c r="U78" s="61"/>
      <c r="V78" s="7">
        <f t="shared" si="56"/>
        <v>1790.1</v>
      </c>
      <c r="W78" s="62">
        <f t="shared" si="50"/>
        <v>11934</v>
      </c>
      <c r="X78" s="62"/>
      <c r="Y78" s="8" t="s">
        <v>99</v>
      </c>
      <c r="Z78" s="8">
        <v>306</v>
      </c>
      <c r="AA78" s="12" t="s">
        <v>97</v>
      </c>
      <c r="AB78" s="11" t="s">
        <v>50</v>
      </c>
      <c r="AC78" s="10">
        <v>14</v>
      </c>
    </row>
    <row r="79" spans="3:29" ht="57" customHeight="1">
      <c r="C79" s="6">
        <f t="shared" si="47"/>
        <v>22604.400000000001</v>
      </c>
      <c r="D79" s="61">
        <f t="shared" si="51"/>
        <v>7534.8</v>
      </c>
      <c r="E79" s="61"/>
      <c r="F79" s="7">
        <f t="shared" si="52"/>
        <v>982.8</v>
      </c>
      <c r="G79" s="62">
        <f t="shared" si="48"/>
        <v>6552</v>
      </c>
      <c r="H79" s="62"/>
      <c r="I79" s="8" t="s">
        <v>99</v>
      </c>
      <c r="J79" s="1">
        <v>168</v>
      </c>
      <c r="K79" s="10" t="s">
        <v>97</v>
      </c>
      <c r="L79" s="61">
        <f t="shared" si="53"/>
        <v>7534.8</v>
      </c>
      <c r="M79" s="61"/>
      <c r="N79" s="7">
        <f t="shared" si="54"/>
        <v>982.8</v>
      </c>
      <c r="O79" s="62">
        <f t="shared" si="49"/>
        <v>6552</v>
      </c>
      <c r="P79" s="62"/>
      <c r="Q79" s="8" t="s">
        <v>99</v>
      </c>
      <c r="R79" s="11">
        <v>168</v>
      </c>
      <c r="S79" s="10" t="s">
        <v>97</v>
      </c>
      <c r="T79" s="61">
        <f t="shared" si="55"/>
        <v>7534.8</v>
      </c>
      <c r="U79" s="61"/>
      <c r="V79" s="7">
        <f t="shared" si="56"/>
        <v>982.8</v>
      </c>
      <c r="W79" s="62">
        <f t="shared" si="50"/>
        <v>6552</v>
      </c>
      <c r="X79" s="62"/>
      <c r="Y79" s="12" t="s">
        <v>99</v>
      </c>
      <c r="Z79" s="8">
        <v>168</v>
      </c>
      <c r="AA79" s="12" t="s">
        <v>97</v>
      </c>
      <c r="AB79" s="11" t="s">
        <v>51</v>
      </c>
      <c r="AC79" s="10">
        <v>15</v>
      </c>
    </row>
    <row r="80" spans="3:29" ht="57" customHeight="1">
      <c r="C80" s="6">
        <f t="shared" si="47"/>
        <v>46419.75</v>
      </c>
      <c r="D80" s="61">
        <f t="shared" si="51"/>
        <v>15473.25</v>
      </c>
      <c r="E80" s="61"/>
      <c r="F80" s="7">
        <f t="shared" si="52"/>
        <v>2018.25</v>
      </c>
      <c r="G80" s="62">
        <f t="shared" si="48"/>
        <v>13455</v>
      </c>
      <c r="H80" s="62"/>
      <c r="I80" s="8" t="s">
        <v>99</v>
      </c>
      <c r="J80" s="1">
        <v>345</v>
      </c>
      <c r="K80" s="10" t="s">
        <v>97</v>
      </c>
      <c r="L80" s="61">
        <f t="shared" si="53"/>
        <v>15473.25</v>
      </c>
      <c r="M80" s="61"/>
      <c r="N80" s="7">
        <f t="shared" si="54"/>
        <v>2018.25</v>
      </c>
      <c r="O80" s="62">
        <f t="shared" si="49"/>
        <v>13455</v>
      </c>
      <c r="P80" s="62"/>
      <c r="Q80" s="8" t="s">
        <v>99</v>
      </c>
      <c r="R80" s="11">
        <v>345</v>
      </c>
      <c r="S80" s="10" t="s">
        <v>97</v>
      </c>
      <c r="T80" s="61">
        <f t="shared" si="55"/>
        <v>15473.25</v>
      </c>
      <c r="U80" s="61"/>
      <c r="V80" s="7">
        <f t="shared" si="56"/>
        <v>2018.25</v>
      </c>
      <c r="W80" s="62">
        <f t="shared" si="50"/>
        <v>13455</v>
      </c>
      <c r="X80" s="62"/>
      <c r="Y80" s="8" t="s">
        <v>99</v>
      </c>
      <c r="Z80" s="8">
        <v>345</v>
      </c>
      <c r="AA80" s="12" t="s">
        <v>97</v>
      </c>
      <c r="AB80" s="11" t="s">
        <v>52</v>
      </c>
      <c r="AC80" s="10">
        <v>16</v>
      </c>
    </row>
    <row r="81" spans="3:29" ht="57" customHeight="1">
      <c r="C81" s="6">
        <f t="shared" si="47"/>
        <v>26082</v>
      </c>
      <c r="D81" s="61">
        <f t="shared" si="51"/>
        <v>8694</v>
      </c>
      <c r="E81" s="61"/>
      <c r="F81" s="7">
        <f t="shared" si="52"/>
        <v>1134</v>
      </c>
      <c r="G81" s="62">
        <f t="shared" si="48"/>
        <v>7560</v>
      </c>
      <c r="H81" s="62"/>
      <c r="I81" s="8" t="s">
        <v>122</v>
      </c>
      <c r="J81" s="1">
        <v>216</v>
      </c>
      <c r="K81" s="10" t="s">
        <v>97</v>
      </c>
      <c r="L81" s="61">
        <f t="shared" si="53"/>
        <v>8694</v>
      </c>
      <c r="M81" s="61"/>
      <c r="N81" s="7">
        <f t="shared" si="54"/>
        <v>1134</v>
      </c>
      <c r="O81" s="62">
        <f t="shared" si="49"/>
        <v>7560</v>
      </c>
      <c r="P81" s="62"/>
      <c r="Q81" s="8" t="s">
        <v>122</v>
      </c>
      <c r="R81" s="11">
        <v>216</v>
      </c>
      <c r="S81" s="10" t="s">
        <v>97</v>
      </c>
      <c r="T81" s="61">
        <f t="shared" si="55"/>
        <v>8694</v>
      </c>
      <c r="U81" s="61"/>
      <c r="V81" s="7">
        <f t="shared" si="56"/>
        <v>1134</v>
      </c>
      <c r="W81" s="62">
        <f t="shared" si="50"/>
        <v>7560</v>
      </c>
      <c r="X81" s="62"/>
      <c r="Y81" s="8" t="s">
        <v>122</v>
      </c>
      <c r="Z81" s="8">
        <v>216</v>
      </c>
      <c r="AA81" s="12" t="s">
        <v>97</v>
      </c>
      <c r="AB81" s="11" t="s">
        <v>53</v>
      </c>
      <c r="AC81" s="10">
        <v>17</v>
      </c>
    </row>
    <row r="82" spans="3:29" ht="57" customHeight="1">
      <c r="C82" s="6">
        <f t="shared" si="47"/>
        <v>26640.899999999998</v>
      </c>
      <c r="D82" s="61">
        <f t="shared" si="51"/>
        <v>8880.2999999999993</v>
      </c>
      <c r="E82" s="61"/>
      <c r="F82" s="7">
        <f t="shared" si="52"/>
        <v>1158.3</v>
      </c>
      <c r="G82" s="62">
        <f t="shared" si="48"/>
        <v>7722</v>
      </c>
      <c r="H82" s="62"/>
      <c r="I82" s="8" t="s">
        <v>99</v>
      </c>
      <c r="J82" s="1">
        <v>198</v>
      </c>
      <c r="K82" s="10" t="s">
        <v>97</v>
      </c>
      <c r="L82" s="61">
        <f t="shared" si="53"/>
        <v>8880.2999999999993</v>
      </c>
      <c r="M82" s="61"/>
      <c r="N82" s="7">
        <f t="shared" si="54"/>
        <v>1158.3</v>
      </c>
      <c r="O82" s="62">
        <f t="shared" si="49"/>
        <v>7722</v>
      </c>
      <c r="P82" s="62"/>
      <c r="Q82" s="8" t="s">
        <v>99</v>
      </c>
      <c r="R82" s="11">
        <v>198</v>
      </c>
      <c r="S82" s="10" t="s">
        <v>97</v>
      </c>
      <c r="T82" s="61">
        <f t="shared" si="55"/>
        <v>8880.2999999999993</v>
      </c>
      <c r="U82" s="61"/>
      <c r="V82" s="7">
        <f t="shared" si="56"/>
        <v>1158.3</v>
      </c>
      <c r="W82" s="62">
        <f t="shared" si="50"/>
        <v>7722</v>
      </c>
      <c r="X82" s="62"/>
      <c r="Y82" s="8" t="s">
        <v>99</v>
      </c>
      <c r="Z82" s="8">
        <v>198</v>
      </c>
      <c r="AA82" s="12" t="s">
        <v>97</v>
      </c>
      <c r="AB82" s="11" t="s">
        <v>54</v>
      </c>
      <c r="AC82" s="10">
        <v>18</v>
      </c>
    </row>
    <row r="83" spans="3:29" ht="57" customHeight="1">
      <c r="C83" s="6">
        <f t="shared" si="47"/>
        <v>28410.75</v>
      </c>
      <c r="D83" s="61">
        <f t="shared" si="51"/>
        <v>9470.25</v>
      </c>
      <c r="E83" s="61"/>
      <c r="F83" s="7">
        <f t="shared" si="52"/>
        <v>1235.25</v>
      </c>
      <c r="G83" s="62">
        <f t="shared" si="48"/>
        <v>8235</v>
      </c>
      <c r="H83" s="62"/>
      <c r="I83" s="8" t="s">
        <v>98</v>
      </c>
      <c r="J83" s="1">
        <v>183</v>
      </c>
      <c r="K83" s="10" t="s">
        <v>97</v>
      </c>
      <c r="L83" s="61">
        <f t="shared" si="53"/>
        <v>9470.25</v>
      </c>
      <c r="M83" s="61"/>
      <c r="N83" s="7">
        <f t="shared" si="54"/>
        <v>1235.25</v>
      </c>
      <c r="O83" s="62">
        <f t="shared" si="49"/>
        <v>8235</v>
      </c>
      <c r="P83" s="62"/>
      <c r="Q83" s="8" t="s">
        <v>98</v>
      </c>
      <c r="R83" s="11">
        <v>183</v>
      </c>
      <c r="S83" s="10" t="s">
        <v>97</v>
      </c>
      <c r="T83" s="61">
        <f t="shared" si="55"/>
        <v>9470.25</v>
      </c>
      <c r="U83" s="61"/>
      <c r="V83" s="7">
        <f t="shared" si="56"/>
        <v>1235.25</v>
      </c>
      <c r="W83" s="62">
        <f t="shared" si="50"/>
        <v>8235</v>
      </c>
      <c r="X83" s="62"/>
      <c r="Y83" s="8" t="s">
        <v>98</v>
      </c>
      <c r="Z83" s="8">
        <v>183</v>
      </c>
      <c r="AA83" s="12" t="s">
        <v>97</v>
      </c>
      <c r="AB83" s="11" t="s">
        <v>55</v>
      </c>
      <c r="AC83" s="10">
        <v>19</v>
      </c>
    </row>
    <row r="84" spans="3:29" ht="57" customHeight="1">
      <c r="C84" s="6">
        <f t="shared" si="47"/>
        <v>23287.5</v>
      </c>
      <c r="D84" s="61">
        <f t="shared" si="51"/>
        <v>7762.5</v>
      </c>
      <c r="E84" s="61"/>
      <c r="F84" s="7">
        <f t="shared" si="52"/>
        <v>1012.5</v>
      </c>
      <c r="G84" s="62">
        <f t="shared" si="48"/>
        <v>6750</v>
      </c>
      <c r="H84" s="62"/>
      <c r="I84" s="8" t="s">
        <v>98</v>
      </c>
      <c r="J84" s="1">
        <v>150</v>
      </c>
      <c r="K84" s="10" t="s">
        <v>97</v>
      </c>
      <c r="L84" s="61">
        <f t="shared" si="53"/>
        <v>7762.5</v>
      </c>
      <c r="M84" s="61"/>
      <c r="N84" s="7">
        <f t="shared" si="54"/>
        <v>1012.5</v>
      </c>
      <c r="O84" s="62">
        <f t="shared" si="49"/>
        <v>6750</v>
      </c>
      <c r="P84" s="62"/>
      <c r="Q84" s="8" t="s">
        <v>98</v>
      </c>
      <c r="R84" s="11">
        <v>150</v>
      </c>
      <c r="S84" s="10" t="s">
        <v>97</v>
      </c>
      <c r="T84" s="61">
        <f t="shared" si="55"/>
        <v>7762.5</v>
      </c>
      <c r="U84" s="61"/>
      <c r="V84" s="7">
        <f t="shared" si="56"/>
        <v>1012.5</v>
      </c>
      <c r="W84" s="62">
        <f t="shared" si="50"/>
        <v>6750</v>
      </c>
      <c r="X84" s="62"/>
      <c r="Y84" s="8" t="s">
        <v>98</v>
      </c>
      <c r="Z84" s="8">
        <v>150</v>
      </c>
      <c r="AA84" s="12" t="s">
        <v>97</v>
      </c>
      <c r="AB84" s="11" t="s">
        <v>56</v>
      </c>
      <c r="AC84" s="10">
        <v>20</v>
      </c>
    </row>
    <row r="85" spans="3:29" ht="57" customHeight="1">
      <c r="C85" s="6">
        <f t="shared" si="47"/>
        <v>19095.75</v>
      </c>
      <c r="D85" s="61">
        <f t="shared" si="51"/>
        <v>6365.25</v>
      </c>
      <c r="E85" s="61"/>
      <c r="F85" s="7">
        <f t="shared" si="52"/>
        <v>830.25</v>
      </c>
      <c r="G85" s="62">
        <f t="shared" si="48"/>
        <v>5535</v>
      </c>
      <c r="H85" s="62"/>
      <c r="I85" s="8" t="s">
        <v>98</v>
      </c>
      <c r="J85" s="1">
        <v>123</v>
      </c>
      <c r="K85" s="10" t="s">
        <v>97</v>
      </c>
      <c r="L85" s="61">
        <f t="shared" si="53"/>
        <v>6365.25</v>
      </c>
      <c r="M85" s="61"/>
      <c r="N85" s="7">
        <f t="shared" si="54"/>
        <v>830.25</v>
      </c>
      <c r="O85" s="62">
        <f t="shared" si="49"/>
        <v>5535</v>
      </c>
      <c r="P85" s="62"/>
      <c r="Q85" s="8" t="s">
        <v>98</v>
      </c>
      <c r="R85" s="11">
        <v>123</v>
      </c>
      <c r="S85" s="10" t="s">
        <v>97</v>
      </c>
      <c r="T85" s="61">
        <f t="shared" si="55"/>
        <v>6365.25</v>
      </c>
      <c r="U85" s="61"/>
      <c r="V85" s="7">
        <f t="shared" si="56"/>
        <v>830.25</v>
      </c>
      <c r="W85" s="62">
        <f t="shared" si="50"/>
        <v>5535</v>
      </c>
      <c r="X85" s="62"/>
      <c r="Y85" s="8" t="s">
        <v>98</v>
      </c>
      <c r="Z85" s="8">
        <v>123</v>
      </c>
      <c r="AA85" s="12" t="s">
        <v>97</v>
      </c>
      <c r="AB85" s="11" t="s">
        <v>57</v>
      </c>
      <c r="AC85" s="10">
        <v>21</v>
      </c>
    </row>
    <row r="86" spans="3:29" ht="57" customHeight="1">
      <c r="C86" s="6">
        <f t="shared" si="47"/>
        <v>15835.5</v>
      </c>
      <c r="D86" s="61">
        <f t="shared" si="51"/>
        <v>5278.5</v>
      </c>
      <c r="E86" s="61"/>
      <c r="F86" s="7">
        <f t="shared" si="52"/>
        <v>688.5</v>
      </c>
      <c r="G86" s="62">
        <f t="shared" si="48"/>
        <v>4590</v>
      </c>
      <c r="H86" s="62"/>
      <c r="I86" s="8" t="s">
        <v>98</v>
      </c>
      <c r="J86" s="1">
        <v>102</v>
      </c>
      <c r="K86" s="10" t="s">
        <v>97</v>
      </c>
      <c r="L86" s="61">
        <f t="shared" si="53"/>
        <v>5278.5</v>
      </c>
      <c r="M86" s="61"/>
      <c r="N86" s="7">
        <f t="shared" si="54"/>
        <v>688.5</v>
      </c>
      <c r="O86" s="62">
        <f t="shared" si="49"/>
        <v>4590</v>
      </c>
      <c r="P86" s="62"/>
      <c r="Q86" s="8" t="s">
        <v>98</v>
      </c>
      <c r="R86" s="11">
        <v>102</v>
      </c>
      <c r="S86" s="10" t="s">
        <v>97</v>
      </c>
      <c r="T86" s="61">
        <f t="shared" si="55"/>
        <v>5278.5</v>
      </c>
      <c r="U86" s="61"/>
      <c r="V86" s="7">
        <f t="shared" si="56"/>
        <v>688.5</v>
      </c>
      <c r="W86" s="62">
        <f t="shared" si="50"/>
        <v>4590</v>
      </c>
      <c r="X86" s="62"/>
      <c r="Y86" s="8" t="s">
        <v>98</v>
      </c>
      <c r="Z86" s="8">
        <v>102</v>
      </c>
      <c r="AA86" s="12" t="s">
        <v>97</v>
      </c>
      <c r="AB86" s="11" t="s">
        <v>58</v>
      </c>
      <c r="AC86" s="10">
        <v>22</v>
      </c>
    </row>
    <row r="87" spans="3:29" ht="57" customHeight="1">
      <c r="C87" s="6">
        <f t="shared" si="47"/>
        <v>13041</v>
      </c>
      <c r="D87" s="61">
        <f t="shared" si="51"/>
        <v>4347</v>
      </c>
      <c r="E87" s="61"/>
      <c r="F87" s="7">
        <f t="shared" si="52"/>
        <v>567</v>
      </c>
      <c r="G87" s="62">
        <f t="shared" si="48"/>
        <v>3780</v>
      </c>
      <c r="H87" s="62"/>
      <c r="I87" s="8" t="s">
        <v>98</v>
      </c>
      <c r="J87" s="1">
        <v>84</v>
      </c>
      <c r="K87" s="10" t="s">
        <v>97</v>
      </c>
      <c r="L87" s="61">
        <f t="shared" si="53"/>
        <v>4347</v>
      </c>
      <c r="M87" s="61"/>
      <c r="N87" s="7">
        <f t="shared" si="54"/>
        <v>567</v>
      </c>
      <c r="O87" s="62">
        <f t="shared" si="49"/>
        <v>3780</v>
      </c>
      <c r="P87" s="62"/>
      <c r="Q87" s="8" t="s">
        <v>98</v>
      </c>
      <c r="R87" s="11">
        <v>84</v>
      </c>
      <c r="S87" s="10" t="s">
        <v>97</v>
      </c>
      <c r="T87" s="61">
        <f t="shared" si="55"/>
        <v>4347</v>
      </c>
      <c r="U87" s="61"/>
      <c r="V87" s="7">
        <f t="shared" si="56"/>
        <v>567</v>
      </c>
      <c r="W87" s="62">
        <f t="shared" si="50"/>
        <v>3780</v>
      </c>
      <c r="X87" s="62"/>
      <c r="Y87" s="8" t="s">
        <v>98</v>
      </c>
      <c r="Z87" s="8">
        <v>84</v>
      </c>
      <c r="AA87" s="12" t="s">
        <v>97</v>
      </c>
      <c r="AB87" s="11" t="s">
        <v>59</v>
      </c>
      <c r="AC87" s="10">
        <v>23</v>
      </c>
    </row>
    <row r="88" spans="3:29" ht="57" customHeight="1">
      <c r="C88" s="6">
        <f t="shared" si="47"/>
        <v>19095.75</v>
      </c>
      <c r="D88" s="61">
        <f t="shared" si="51"/>
        <v>6365.25</v>
      </c>
      <c r="E88" s="61"/>
      <c r="F88" s="7">
        <f t="shared" si="52"/>
        <v>830.25</v>
      </c>
      <c r="G88" s="62">
        <f t="shared" si="48"/>
        <v>5535</v>
      </c>
      <c r="H88" s="62"/>
      <c r="I88" s="8" t="s">
        <v>98</v>
      </c>
      <c r="J88" s="1">
        <v>123</v>
      </c>
      <c r="K88" s="10" t="s">
        <v>97</v>
      </c>
      <c r="L88" s="61">
        <f t="shared" si="53"/>
        <v>6365.25</v>
      </c>
      <c r="M88" s="61"/>
      <c r="N88" s="7">
        <f t="shared" si="54"/>
        <v>830.25</v>
      </c>
      <c r="O88" s="62">
        <f t="shared" si="49"/>
        <v>5535</v>
      </c>
      <c r="P88" s="62"/>
      <c r="Q88" s="8" t="s">
        <v>98</v>
      </c>
      <c r="R88" s="11">
        <v>123</v>
      </c>
      <c r="S88" s="10" t="s">
        <v>97</v>
      </c>
      <c r="T88" s="61">
        <f t="shared" si="55"/>
        <v>6365.25</v>
      </c>
      <c r="U88" s="61"/>
      <c r="V88" s="7">
        <f t="shared" si="56"/>
        <v>830.25</v>
      </c>
      <c r="W88" s="62">
        <f t="shared" si="50"/>
        <v>5535</v>
      </c>
      <c r="X88" s="62"/>
      <c r="Y88" s="8" t="s">
        <v>98</v>
      </c>
      <c r="Z88" s="8">
        <v>123</v>
      </c>
      <c r="AA88" s="12" t="s">
        <v>97</v>
      </c>
      <c r="AB88" s="11" t="s">
        <v>60</v>
      </c>
      <c r="AC88" s="10">
        <v>24</v>
      </c>
    </row>
    <row r="89" spans="3:29" ht="57" customHeight="1">
      <c r="C89" s="6">
        <f t="shared" si="47"/>
        <v>10246.5</v>
      </c>
      <c r="D89" s="61">
        <f t="shared" si="51"/>
        <v>3415.5</v>
      </c>
      <c r="E89" s="61"/>
      <c r="F89" s="7">
        <f t="shared" si="52"/>
        <v>445.5</v>
      </c>
      <c r="G89" s="62">
        <f t="shared" si="48"/>
        <v>2970</v>
      </c>
      <c r="H89" s="62"/>
      <c r="I89" s="8" t="s">
        <v>98</v>
      </c>
      <c r="J89" s="1">
        <v>66</v>
      </c>
      <c r="K89" s="10" t="s">
        <v>97</v>
      </c>
      <c r="L89" s="61">
        <f t="shared" si="53"/>
        <v>3415.5</v>
      </c>
      <c r="M89" s="61"/>
      <c r="N89" s="7">
        <f t="shared" si="54"/>
        <v>445.5</v>
      </c>
      <c r="O89" s="62">
        <f t="shared" si="49"/>
        <v>2970</v>
      </c>
      <c r="P89" s="62"/>
      <c r="Q89" s="8" t="s">
        <v>98</v>
      </c>
      <c r="R89" s="11">
        <v>66</v>
      </c>
      <c r="S89" s="10" t="s">
        <v>97</v>
      </c>
      <c r="T89" s="61">
        <f t="shared" si="55"/>
        <v>3415.5</v>
      </c>
      <c r="U89" s="61"/>
      <c r="V89" s="7">
        <f t="shared" si="56"/>
        <v>445.5</v>
      </c>
      <c r="W89" s="62">
        <f t="shared" si="50"/>
        <v>2970</v>
      </c>
      <c r="X89" s="62"/>
      <c r="Y89" s="8" t="s">
        <v>98</v>
      </c>
      <c r="Z89" s="8">
        <v>66</v>
      </c>
      <c r="AA89" s="12" t="s">
        <v>97</v>
      </c>
      <c r="AB89" s="11" t="s">
        <v>61</v>
      </c>
      <c r="AC89" s="10">
        <v>25</v>
      </c>
    </row>
    <row r="90" spans="3:29" ht="57" customHeight="1">
      <c r="C90" s="6">
        <f t="shared" si="47"/>
        <v>20958.75</v>
      </c>
      <c r="D90" s="61">
        <f t="shared" si="51"/>
        <v>6986.25</v>
      </c>
      <c r="E90" s="61"/>
      <c r="F90" s="7">
        <f t="shared" si="52"/>
        <v>911.25</v>
      </c>
      <c r="G90" s="62">
        <f t="shared" si="48"/>
        <v>6075</v>
      </c>
      <c r="H90" s="62"/>
      <c r="I90" s="8" t="s">
        <v>98</v>
      </c>
      <c r="J90" s="1">
        <v>135</v>
      </c>
      <c r="K90" s="10" t="s">
        <v>97</v>
      </c>
      <c r="L90" s="61">
        <f t="shared" si="53"/>
        <v>6986.25</v>
      </c>
      <c r="M90" s="61"/>
      <c r="N90" s="7">
        <f t="shared" si="54"/>
        <v>911.25</v>
      </c>
      <c r="O90" s="62">
        <f t="shared" si="49"/>
        <v>6075</v>
      </c>
      <c r="P90" s="62"/>
      <c r="Q90" s="8" t="s">
        <v>98</v>
      </c>
      <c r="R90" s="11">
        <v>135</v>
      </c>
      <c r="S90" s="10" t="s">
        <v>97</v>
      </c>
      <c r="T90" s="61">
        <f t="shared" si="55"/>
        <v>6986.25</v>
      </c>
      <c r="U90" s="61"/>
      <c r="V90" s="7">
        <f t="shared" si="56"/>
        <v>911.25</v>
      </c>
      <c r="W90" s="62">
        <f t="shared" si="50"/>
        <v>6075</v>
      </c>
      <c r="X90" s="62"/>
      <c r="Y90" s="8" t="s">
        <v>98</v>
      </c>
      <c r="Z90" s="8">
        <v>135</v>
      </c>
      <c r="AA90" s="12" t="s">
        <v>97</v>
      </c>
      <c r="AB90" s="11" t="s">
        <v>62</v>
      </c>
      <c r="AC90" s="10">
        <v>26</v>
      </c>
    </row>
    <row r="91" spans="3:29" ht="57" customHeight="1">
      <c r="C91" s="6">
        <f t="shared" si="47"/>
        <v>48179.25</v>
      </c>
      <c r="D91" s="61">
        <f t="shared" si="51"/>
        <v>16059.75</v>
      </c>
      <c r="E91" s="61"/>
      <c r="F91" s="7">
        <f t="shared" si="52"/>
        <v>2094.75</v>
      </c>
      <c r="G91" s="62">
        <f t="shared" si="48"/>
        <v>13965</v>
      </c>
      <c r="H91" s="62"/>
      <c r="I91" s="8" t="s">
        <v>123</v>
      </c>
      <c r="J91" s="1">
        <v>285</v>
      </c>
      <c r="K91" s="10" t="s">
        <v>97</v>
      </c>
      <c r="L91" s="61">
        <f t="shared" si="53"/>
        <v>16059.75</v>
      </c>
      <c r="M91" s="61"/>
      <c r="N91" s="7">
        <f t="shared" si="54"/>
        <v>2094.75</v>
      </c>
      <c r="O91" s="62">
        <f t="shared" si="49"/>
        <v>13965</v>
      </c>
      <c r="P91" s="62"/>
      <c r="Q91" s="8" t="s">
        <v>123</v>
      </c>
      <c r="R91" s="11">
        <v>285</v>
      </c>
      <c r="S91" s="10" t="s">
        <v>97</v>
      </c>
      <c r="T91" s="61">
        <f t="shared" si="55"/>
        <v>16059.75</v>
      </c>
      <c r="U91" s="61"/>
      <c r="V91" s="7">
        <f t="shared" si="56"/>
        <v>2094.75</v>
      </c>
      <c r="W91" s="62">
        <f t="shared" si="50"/>
        <v>13965</v>
      </c>
      <c r="X91" s="62"/>
      <c r="Y91" s="8" t="s">
        <v>123</v>
      </c>
      <c r="Z91" s="8">
        <v>285</v>
      </c>
      <c r="AA91" s="12" t="s">
        <v>97</v>
      </c>
      <c r="AB91" s="11" t="s">
        <v>63</v>
      </c>
      <c r="AC91" s="10">
        <v>27</v>
      </c>
    </row>
    <row r="92" spans="3:29" ht="57" customHeight="1">
      <c r="C92" s="6">
        <f t="shared" si="47"/>
        <v>11705.849999999999</v>
      </c>
      <c r="D92" s="61">
        <f t="shared" si="51"/>
        <v>3901.95</v>
      </c>
      <c r="E92" s="61"/>
      <c r="F92" s="7">
        <f t="shared" si="52"/>
        <v>508.95</v>
      </c>
      <c r="G92" s="62">
        <f t="shared" si="48"/>
        <v>3393</v>
      </c>
      <c r="H92" s="62"/>
      <c r="I92" s="8" t="s">
        <v>99</v>
      </c>
      <c r="J92" s="1">
        <v>87</v>
      </c>
      <c r="K92" s="10" t="s">
        <v>97</v>
      </c>
      <c r="L92" s="61">
        <f t="shared" si="53"/>
        <v>3901.95</v>
      </c>
      <c r="M92" s="61"/>
      <c r="N92" s="7">
        <f t="shared" si="54"/>
        <v>508.95</v>
      </c>
      <c r="O92" s="62">
        <f t="shared" si="49"/>
        <v>3393</v>
      </c>
      <c r="P92" s="62"/>
      <c r="Q92" s="8" t="s">
        <v>99</v>
      </c>
      <c r="R92" s="11">
        <v>87</v>
      </c>
      <c r="S92" s="10" t="s">
        <v>97</v>
      </c>
      <c r="T92" s="61">
        <f t="shared" si="55"/>
        <v>3901.95</v>
      </c>
      <c r="U92" s="61"/>
      <c r="V92" s="7">
        <f t="shared" si="56"/>
        <v>508.95</v>
      </c>
      <c r="W92" s="62">
        <f t="shared" si="50"/>
        <v>3393</v>
      </c>
      <c r="X92" s="62"/>
      <c r="Y92" s="8" t="s">
        <v>99</v>
      </c>
      <c r="Z92" s="8">
        <v>87</v>
      </c>
      <c r="AA92" s="12" t="s">
        <v>97</v>
      </c>
      <c r="AB92" s="11" t="s">
        <v>64</v>
      </c>
      <c r="AC92" s="10">
        <v>28</v>
      </c>
    </row>
    <row r="93" spans="3:29" ht="57" customHeight="1">
      <c r="C93" s="6">
        <f t="shared" si="47"/>
        <v>8476.6500000000015</v>
      </c>
      <c r="D93" s="61">
        <f t="shared" si="51"/>
        <v>2825.55</v>
      </c>
      <c r="E93" s="61"/>
      <c r="F93" s="7">
        <f t="shared" si="52"/>
        <v>368.55</v>
      </c>
      <c r="G93" s="62">
        <f t="shared" si="48"/>
        <v>2457</v>
      </c>
      <c r="H93" s="62"/>
      <c r="I93" s="8" t="s">
        <v>99</v>
      </c>
      <c r="J93" s="1">
        <v>63</v>
      </c>
      <c r="K93" s="10" t="s">
        <v>97</v>
      </c>
      <c r="L93" s="61">
        <f t="shared" si="53"/>
        <v>2825.55</v>
      </c>
      <c r="M93" s="61"/>
      <c r="N93" s="7">
        <f t="shared" si="54"/>
        <v>368.55</v>
      </c>
      <c r="O93" s="62">
        <f t="shared" si="49"/>
        <v>2457</v>
      </c>
      <c r="P93" s="62"/>
      <c r="Q93" s="8" t="s">
        <v>99</v>
      </c>
      <c r="R93" s="11">
        <v>63</v>
      </c>
      <c r="S93" s="10" t="s">
        <v>97</v>
      </c>
      <c r="T93" s="61">
        <f t="shared" si="55"/>
        <v>2825.55</v>
      </c>
      <c r="U93" s="61"/>
      <c r="V93" s="7">
        <f t="shared" si="56"/>
        <v>368.55</v>
      </c>
      <c r="W93" s="62">
        <f t="shared" si="50"/>
        <v>2457</v>
      </c>
      <c r="X93" s="62"/>
      <c r="Y93" s="8" t="s">
        <v>99</v>
      </c>
      <c r="Z93" s="8">
        <v>63</v>
      </c>
      <c r="AA93" s="12" t="s">
        <v>97</v>
      </c>
      <c r="AB93" s="11" t="s">
        <v>65</v>
      </c>
      <c r="AC93" s="10">
        <v>29</v>
      </c>
    </row>
    <row r="94" spans="3:29" ht="57" customHeight="1">
      <c r="C94" s="6">
        <f t="shared" si="47"/>
        <v>22356</v>
      </c>
      <c r="D94" s="61">
        <f t="shared" si="51"/>
        <v>7452</v>
      </c>
      <c r="E94" s="61"/>
      <c r="F94" s="7">
        <f t="shared" si="52"/>
        <v>972</v>
      </c>
      <c r="G94" s="62">
        <f t="shared" si="48"/>
        <v>6480</v>
      </c>
      <c r="H94" s="62"/>
      <c r="I94" s="8" t="s">
        <v>98</v>
      </c>
      <c r="J94" s="1">
        <v>144</v>
      </c>
      <c r="K94" s="10" t="s">
        <v>97</v>
      </c>
      <c r="L94" s="61">
        <f t="shared" si="53"/>
        <v>7452</v>
      </c>
      <c r="M94" s="61"/>
      <c r="N94" s="7">
        <f t="shared" si="54"/>
        <v>972</v>
      </c>
      <c r="O94" s="62">
        <f t="shared" si="49"/>
        <v>6480</v>
      </c>
      <c r="P94" s="62"/>
      <c r="Q94" s="8" t="s">
        <v>98</v>
      </c>
      <c r="R94" s="11">
        <v>144</v>
      </c>
      <c r="S94" s="10" t="s">
        <v>97</v>
      </c>
      <c r="T94" s="61">
        <f t="shared" si="55"/>
        <v>7452</v>
      </c>
      <c r="U94" s="61"/>
      <c r="V94" s="7">
        <f t="shared" si="56"/>
        <v>972</v>
      </c>
      <c r="W94" s="62">
        <f t="shared" si="50"/>
        <v>6480</v>
      </c>
      <c r="X94" s="62"/>
      <c r="Y94" s="8" t="s">
        <v>98</v>
      </c>
      <c r="Z94" s="8">
        <v>144</v>
      </c>
      <c r="AA94" s="12" t="s">
        <v>97</v>
      </c>
      <c r="AB94" s="11" t="s">
        <v>66</v>
      </c>
      <c r="AC94" s="10">
        <v>30</v>
      </c>
    </row>
    <row r="95" spans="3:29" ht="57" customHeight="1">
      <c r="C95" s="6">
        <f t="shared" si="47"/>
        <v>6862.0499999999993</v>
      </c>
      <c r="D95" s="61">
        <f t="shared" si="51"/>
        <v>2287.35</v>
      </c>
      <c r="E95" s="61"/>
      <c r="F95" s="7">
        <f t="shared" si="52"/>
        <v>298.34999999999997</v>
      </c>
      <c r="G95" s="62">
        <f t="shared" si="48"/>
        <v>1989</v>
      </c>
      <c r="H95" s="62"/>
      <c r="I95" s="8" t="s">
        <v>99</v>
      </c>
      <c r="J95" s="1">
        <v>51</v>
      </c>
      <c r="K95" s="10" t="s">
        <v>97</v>
      </c>
      <c r="L95" s="61">
        <f t="shared" si="53"/>
        <v>2287.35</v>
      </c>
      <c r="M95" s="61"/>
      <c r="N95" s="7">
        <f t="shared" si="54"/>
        <v>298.34999999999997</v>
      </c>
      <c r="O95" s="62">
        <f t="shared" si="49"/>
        <v>1989</v>
      </c>
      <c r="P95" s="62"/>
      <c r="Q95" s="8" t="s">
        <v>99</v>
      </c>
      <c r="R95" s="11">
        <v>51</v>
      </c>
      <c r="S95" s="10" t="s">
        <v>97</v>
      </c>
      <c r="T95" s="61">
        <f t="shared" si="55"/>
        <v>2287.35</v>
      </c>
      <c r="U95" s="61"/>
      <c r="V95" s="7">
        <f t="shared" si="56"/>
        <v>298.34999999999997</v>
      </c>
      <c r="W95" s="62">
        <f t="shared" si="50"/>
        <v>1989</v>
      </c>
      <c r="X95" s="62"/>
      <c r="Y95" s="8" t="s">
        <v>99</v>
      </c>
      <c r="Z95" s="8">
        <v>51</v>
      </c>
      <c r="AA95" s="12" t="s">
        <v>97</v>
      </c>
      <c r="AB95" s="11" t="s">
        <v>67</v>
      </c>
      <c r="AC95" s="10">
        <v>31</v>
      </c>
    </row>
    <row r="96" spans="3:29" ht="57" customHeight="1">
      <c r="C96" s="6">
        <f t="shared" si="47"/>
        <v>8880.2999999999993</v>
      </c>
      <c r="D96" s="61">
        <f t="shared" si="51"/>
        <v>2960.1</v>
      </c>
      <c r="E96" s="61"/>
      <c r="F96" s="7">
        <f t="shared" si="52"/>
        <v>386.09999999999997</v>
      </c>
      <c r="G96" s="62">
        <f t="shared" si="48"/>
        <v>2574</v>
      </c>
      <c r="H96" s="62"/>
      <c r="I96" s="8" t="s">
        <v>99</v>
      </c>
      <c r="J96" s="1">
        <v>66</v>
      </c>
      <c r="K96" s="10" t="s">
        <v>97</v>
      </c>
      <c r="L96" s="61">
        <f t="shared" si="53"/>
        <v>2960.1</v>
      </c>
      <c r="M96" s="61"/>
      <c r="N96" s="7">
        <f t="shared" si="54"/>
        <v>386.09999999999997</v>
      </c>
      <c r="O96" s="62">
        <f t="shared" si="49"/>
        <v>2574</v>
      </c>
      <c r="P96" s="62"/>
      <c r="Q96" s="8" t="s">
        <v>99</v>
      </c>
      <c r="R96" s="11">
        <v>66</v>
      </c>
      <c r="S96" s="10" t="s">
        <v>97</v>
      </c>
      <c r="T96" s="61">
        <f t="shared" si="55"/>
        <v>2960.1</v>
      </c>
      <c r="U96" s="61"/>
      <c r="V96" s="7">
        <f t="shared" si="56"/>
        <v>386.09999999999997</v>
      </c>
      <c r="W96" s="62">
        <f t="shared" si="50"/>
        <v>2574</v>
      </c>
      <c r="X96" s="62"/>
      <c r="Y96" s="8" t="s">
        <v>99</v>
      </c>
      <c r="Z96" s="8">
        <v>66</v>
      </c>
      <c r="AA96" s="12" t="s">
        <v>97</v>
      </c>
      <c r="AB96" s="11" t="s">
        <v>68</v>
      </c>
      <c r="AC96" s="10">
        <v>32</v>
      </c>
    </row>
    <row r="97" spans="3:29" ht="57" customHeight="1">
      <c r="C97" s="6">
        <f t="shared" ref="C97:C124" si="57">D97+L97+T97</f>
        <v>6572.25</v>
      </c>
      <c r="D97" s="61">
        <f t="shared" si="51"/>
        <v>2328.75</v>
      </c>
      <c r="E97" s="61"/>
      <c r="F97" s="7">
        <f t="shared" si="52"/>
        <v>303.75</v>
      </c>
      <c r="G97" s="62">
        <f t="shared" ref="G97:G124" si="58">I97*J97</f>
        <v>2025</v>
      </c>
      <c r="H97" s="62"/>
      <c r="I97" s="8">
        <v>45</v>
      </c>
      <c r="J97" s="1">
        <v>45</v>
      </c>
      <c r="K97" s="10" t="s">
        <v>97</v>
      </c>
      <c r="L97" s="61">
        <f t="shared" si="53"/>
        <v>2121.75</v>
      </c>
      <c r="M97" s="61"/>
      <c r="N97" s="7">
        <f t="shared" si="54"/>
        <v>276.75</v>
      </c>
      <c r="O97" s="62">
        <f t="shared" ref="O97:O124" si="59">Q97*R97</f>
        <v>1845</v>
      </c>
      <c r="P97" s="62"/>
      <c r="Q97" s="8" t="s">
        <v>124</v>
      </c>
      <c r="R97" s="11">
        <v>45</v>
      </c>
      <c r="S97" s="10" t="s">
        <v>97</v>
      </c>
      <c r="T97" s="61">
        <f t="shared" si="55"/>
        <v>2121.75</v>
      </c>
      <c r="U97" s="61"/>
      <c r="V97" s="7">
        <f t="shared" si="56"/>
        <v>276.75</v>
      </c>
      <c r="W97" s="62">
        <f t="shared" ref="W97:W124" si="60">Y97*Z97</f>
        <v>1845</v>
      </c>
      <c r="X97" s="62"/>
      <c r="Y97" s="8" t="s">
        <v>124</v>
      </c>
      <c r="Z97" s="8">
        <v>45</v>
      </c>
      <c r="AA97" s="12" t="s">
        <v>97</v>
      </c>
      <c r="AB97" s="11" t="s">
        <v>69</v>
      </c>
      <c r="AC97" s="10">
        <v>33</v>
      </c>
    </row>
    <row r="98" spans="3:29" ht="57" customHeight="1">
      <c r="C98" s="6">
        <f t="shared" si="57"/>
        <v>2190.75</v>
      </c>
      <c r="D98" s="61">
        <f t="shared" si="51"/>
        <v>776.25</v>
      </c>
      <c r="E98" s="61"/>
      <c r="F98" s="7">
        <f t="shared" si="52"/>
        <v>101.25</v>
      </c>
      <c r="G98" s="62">
        <f t="shared" si="58"/>
        <v>675</v>
      </c>
      <c r="H98" s="62"/>
      <c r="I98" s="8">
        <v>45</v>
      </c>
      <c r="J98" s="1">
        <v>15</v>
      </c>
      <c r="K98" s="10" t="s">
        <v>97</v>
      </c>
      <c r="L98" s="61">
        <f t="shared" si="53"/>
        <v>707.25</v>
      </c>
      <c r="M98" s="61"/>
      <c r="N98" s="7">
        <f t="shared" si="54"/>
        <v>92.25</v>
      </c>
      <c r="O98" s="62">
        <f t="shared" si="59"/>
        <v>615</v>
      </c>
      <c r="P98" s="62"/>
      <c r="Q98" s="8" t="s">
        <v>124</v>
      </c>
      <c r="R98" s="11">
        <v>15</v>
      </c>
      <c r="S98" s="10" t="s">
        <v>97</v>
      </c>
      <c r="T98" s="61">
        <f t="shared" si="55"/>
        <v>707.25</v>
      </c>
      <c r="U98" s="61"/>
      <c r="V98" s="7">
        <f t="shared" si="56"/>
        <v>92.25</v>
      </c>
      <c r="W98" s="62">
        <f t="shared" si="60"/>
        <v>615</v>
      </c>
      <c r="X98" s="62"/>
      <c r="Y98" s="8" t="s">
        <v>124</v>
      </c>
      <c r="Z98" s="8">
        <v>15</v>
      </c>
      <c r="AA98" s="12" t="s">
        <v>97</v>
      </c>
      <c r="AB98" s="11" t="s">
        <v>70</v>
      </c>
      <c r="AC98" s="10">
        <v>34</v>
      </c>
    </row>
    <row r="99" spans="3:29" ht="57" customHeight="1">
      <c r="C99" s="6">
        <f t="shared" si="57"/>
        <v>5257.8</v>
      </c>
      <c r="D99" s="61">
        <f t="shared" si="51"/>
        <v>1863</v>
      </c>
      <c r="E99" s="61"/>
      <c r="F99" s="7">
        <f t="shared" si="52"/>
        <v>243</v>
      </c>
      <c r="G99" s="62">
        <f t="shared" si="58"/>
        <v>1620</v>
      </c>
      <c r="H99" s="62"/>
      <c r="I99" s="8">
        <v>45</v>
      </c>
      <c r="J99" s="1">
        <v>36</v>
      </c>
      <c r="K99" s="10" t="s">
        <v>97</v>
      </c>
      <c r="L99" s="61">
        <f t="shared" si="53"/>
        <v>1697.4</v>
      </c>
      <c r="M99" s="61"/>
      <c r="N99" s="7">
        <f t="shared" si="54"/>
        <v>221.4</v>
      </c>
      <c r="O99" s="62">
        <f t="shared" si="59"/>
        <v>1476</v>
      </c>
      <c r="P99" s="62"/>
      <c r="Q99" s="8" t="s">
        <v>124</v>
      </c>
      <c r="R99" s="11">
        <v>36</v>
      </c>
      <c r="S99" s="10" t="s">
        <v>97</v>
      </c>
      <c r="T99" s="61">
        <f t="shared" si="55"/>
        <v>1697.4</v>
      </c>
      <c r="U99" s="61"/>
      <c r="V99" s="7">
        <f t="shared" si="56"/>
        <v>221.4</v>
      </c>
      <c r="W99" s="62">
        <f t="shared" si="60"/>
        <v>1476</v>
      </c>
      <c r="X99" s="62"/>
      <c r="Y99" s="8" t="s">
        <v>124</v>
      </c>
      <c r="Z99" s="8">
        <v>36</v>
      </c>
      <c r="AA99" s="12" t="s">
        <v>97</v>
      </c>
      <c r="AB99" s="11" t="s">
        <v>71</v>
      </c>
      <c r="AC99" s="10">
        <v>35</v>
      </c>
    </row>
    <row r="100" spans="3:29" ht="57" customHeight="1">
      <c r="C100" s="6">
        <f t="shared" si="57"/>
        <v>2190.75</v>
      </c>
      <c r="D100" s="61">
        <f t="shared" si="51"/>
        <v>776.25</v>
      </c>
      <c r="E100" s="61"/>
      <c r="F100" s="7">
        <f t="shared" si="52"/>
        <v>101.25</v>
      </c>
      <c r="G100" s="62">
        <f t="shared" si="58"/>
        <v>675</v>
      </c>
      <c r="H100" s="62"/>
      <c r="I100" s="8">
        <v>45</v>
      </c>
      <c r="J100" s="1">
        <v>15</v>
      </c>
      <c r="K100" s="10" t="s">
        <v>97</v>
      </c>
      <c r="L100" s="61">
        <f t="shared" si="53"/>
        <v>707.25</v>
      </c>
      <c r="M100" s="61"/>
      <c r="N100" s="7">
        <f t="shared" si="54"/>
        <v>92.25</v>
      </c>
      <c r="O100" s="62">
        <f t="shared" si="59"/>
        <v>615</v>
      </c>
      <c r="P100" s="62"/>
      <c r="Q100" s="8" t="s">
        <v>124</v>
      </c>
      <c r="R100" s="11">
        <v>15</v>
      </c>
      <c r="S100" s="10" t="s">
        <v>97</v>
      </c>
      <c r="T100" s="61">
        <f t="shared" si="55"/>
        <v>707.25</v>
      </c>
      <c r="U100" s="61"/>
      <c r="V100" s="7">
        <f t="shared" si="56"/>
        <v>92.25</v>
      </c>
      <c r="W100" s="62">
        <f t="shared" si="60"/>
        <v>615</v>
      </c>
      <c r="X100" s="62"/>
      <c r="Y100" s="8" t="s">
        <v>124</v>
      </c>
      <c r="Z100" s="8">
        <v>15</v>
      </c>
      <c r="AA100" s="12" t="s">
        <v>97</v>
      </c>
      <c r="AB100" s="11" t="s">
        <v>72</v>
      </c>
      <c r="AC100" s="10">
        <v>36</v>
      </c>
    </row>
    <row r="101" spans="3:29" ht="57" customHeight="1">
      <c r="C101" s="6">
        <f t="shared" si="57"/>
        <v>4819.6499999999996</v>
      </c>
      <c r="D101" s="61">
        <f t="shared" si="51"/>
        <v>1707.75</v>
      </c>
      <c r="E101" s="61"/>
      <c r="F101" s="7">
        <f t="shared" si="52"/>
        <v>222.75</v>
      </c>
      <c r="G101" s="62">
        <f t="shared" si="58"/>
        <v>1485</v>
      </c>
      <c r="H101" s="62"/>
      <c r="I101" s="8">
        <v>45</v>
      </c>
      <c r="J101" s="1">
        <v>33</v>
      </c>
      <c r="K101" s="10" t="s">
        <v>97</v>
      </c>
      <c r="L101" s="61">
        <f t="shared" si="53"/>
        <v>1555.95</v>
      </c>
      <c r="M101" s="61"/>
      <c r="N101" s="7">
        <f t="shared" si="54"/>
        <v>202.95</v>
      </c>
      <c r="O101" s="62">
        <f t="shared" si="59"/>
        <v>1353</v>
      </c>
      <c r="P101" s="62"/>
      <c r="Q101" s="8" t="s">
        <v>124</v>
      </c>
      <c r="R101" s="11">
        <v>33</v>
      </c>
      <c r="S101" s="10" t="s">
        <v>97</v>
      </c>
      <c r="T101" s="61">
        <f t="shared" si="55"/>
        <v>1555.95</v>
      </c>
      <c r="U101" s="61"/>
      <c r="V101" s="7">
        <f t="shared" si="56"/>
        <v>202.95</v>
      </c>
      <c r="W101" s="62">
        <f t="shared" si="60"/>
        <v>1353</v>
      </c>
      <c r="X101" s="62"/>
      <c r="Y101" s="8" t="s">
        <v>124</v>
      </c>
      <c r="Z101" s="8">
        <v>33</v>
      </c>
      <c r="AA101" s="12" t="s">
        <v>97</v>
      </c>
      <c r="AB101" s="11" t="s">
        <v>73</v>
      </c>
      <c r="AC101" s="10">
        <v>37</v>
      </c>
    </row>
    <row r="102" spans="3:29" ht="57" customHeight="1">
      <c r="C102" s="6">
        <f t="shared" si="57"/>
        <v>2190.75</v>
      </c>
      <c r="D102" s="61">
        <f t="shared" si="51"/>
        <v>776.25</v>
      </c>
      <c r="E102" s="61"/>
      <c r="F102" s="7">
        <f t="shared" si="52"/>
        <v>101.25</v>
      </c>
      <c r="G102" s="62">
        <f t="shared" si="58"/>
        <v>675</v>
      </c>
      <c r="H102" s="62"/>
      <c r="I102" s="8">
        <v>45</v>
      </c>
      <c r="J102" s="1">
        <v>15</v>
      </c>
      <c r="K102" s="10" t="s">
        <v>97</v>
      </c>
      <c r="L102" s="61">
        <f t="shared" si="53"/>
        <v>707.25</v>
      </c>
      <c r="M102" s="61"/>
      <c r="N102" s="7">
        <f t="shared" si="54"/>
        <v>92.25</v>
      </c>
      <c r="O102" s="62">
        <f t="shared" si="59"/>
        <v>615</v>
      </c>
      <c r="P102" s="62"/>
      <c r="Q102" s="8" t="s">
        <v>124</v>
      </c>
      <c r="R102" s="11">
        <v>15</v>
      </c>
      <c r="S102" s="10" t="s">
        <v>97</v>
      </c>
      <c r="T102" s="61">
        <f t="shared" si="55"/>
        <v>707.25</v>
      </c>
      <c r="U102" s="61"/>
      <c r="V102" s="7">
        <f t="shared" si="56"/>
        <v>92.25</v>
      </c>
      <c r="W102" s="62">
        <f t="shared" si="60"/>
        <v>615</v>
      </c>
      <c r="X102" s="62"/>
      <c r="Y102" s="8" t="s">
        <v>124</v>
      </c>
      <c r="Z102" s="8">
        <v>15</v>
      </c>
      <c r="AA102" s="12" t="s">
        <v>97</v>
      </c>
      <c r="AB102" s="11" t="s">
        <v>74</v>
      </c>
      <c r="AC102" s="10">
        <v>38</v>
      </c>
    </row>
    <row r="103" spans="3:29" ht="57" customHeight="1">
      <c r="C103" s="6">
        <f t="shared" si="57"/>
        <v>2628.9</v>
      </c>
      <c r="D103" s="61">
        <f t="shared" si="51"/>
        <v>931.5</v>
      </c>
      <c r="E103" s="61"/>
      <c r="F103" s="7">
        <f t="shared" si="52"/>
        <v>121.5</v>
      </c>
      <c r="G103" s="62">
        <f t="shared" si="58"/>
        <v>810</v>
      </c>
      <c r="H103" s="62"/>
      <c r="I103" s="8">
        <v>45</v>
      </c>
      <c r="J103" s="1">
        <v>18</v>
      </c>
      <c r="K103" s="10" t="s">
        <v>97</v>
      </c>
      <c r="L103" s="61">
        <f t="shared" si="53"/>
        <v>848.7</v>
      </c>
      <c r="M103" s="61"/>
      <c r="N103" s="7">
        <f t="shared" si="54"/>
        <v>110.7</v>
      </c>
      <c r="O103" s="62">
        <f t="shared" si="59"/>
        <v>738</v>
      </c>
      <c r="P103" s="62"/>
      <c r="Q103" s="8" t="s">
        <v>124</v>
      </c>
      <c r="R103" s="11">
        <v>18</v>
      </c>
      <c r="S103" s="10" t="s">
        <v>97</v>
      </c>
      <c r="T103" s="61">
        <f t="shared" si="55"/>
        <v>848.7</v>
      </c>
      <c r="U103" s="61"/>
      <c r="V103" s="7">
        <f t="shared" si="56"/>
        <v>110.7</v>
      </c>
      <c r="W103" s="62">
        <f t="shared" si="60"/>
        <v>738</v>
      </c>
      <c r="X103" s="62"/>
      <c r="Y103" s="8" t="s">
        <v>124</v>
      </c>
      <c r="Z103" s="8">
        <v>18</v>
      </c>
      <c r="AA103" s="12" t="s">
        <v>97</v>
      </c>
      <c r="AB103" s="11" t="s">
        <v>75</v>
      </c>
      <c r="AC103" s="10">
        <v>39</v>
      </c>
    </row>
    <row r="104" spans="3:29" ht="57" customHeight="1">
      <c r="C104" s="6">
        <f t="shared" si="57"/>
        <v>2190.75</v>
      </c>
      <c r="D104" s="61">
        <f t="shared" si="51"/>
        <v>776.25</v>
      </c>
      <c r="E104" s="61"/>
      <c r="F104" s="7">
        <f t="shared" si="52"/>
        <v>101.25</v>
      </c>
      <c r="G104" s="62">
        <f t="shared" si="58"/>
        <v>675</v>
      </c>
      <c r="H104" s="62"/>
      <c r="I104" s="8">
        <v>45</v>
      </c>
      <c r="J104" s="1">
        <v>15</v>
      </c>
      <c r="K104" s="10" t="s">
        <v>97</v>
      </c>
      <c r="L104" s="61">
        <f t="shared" si="53"/>
        <v>707.25</v>
      </c>
      <c r="M104" s="61"/>
      <c r="N104" s="7">
        <f t="shared" si="54"/>
        <v>92.25</v>
      </c>
      <c r="O104" s="62">
        <f t="shared" si="59"/>
        <v>615</v>
      </c>
      <c r="P104" s="62"/>
      <c r="Q104" s="8" t="s">
        <v>124</v>
      </c>
      <c r="R104" s="11">
        <v>15</v>
      </c>
      <c r="S104" s="10" t="s">
        <v>97</v>
      </c>
      <c r="T104" s="61">
        <f t="shared" si="55"/>
        <v>707.25</v>
      </c>
      <c r="U104" s="61"/>
      <c r="V104" s="7">
        <f t="shared" si="56"/>
        <v>92.25</v>
      </c>
      <c r="W104" s="62">
        <f t="shared" si="60"/>
        <v>615</v>
      </c>
      <c r="X104" s="62"/>
      <c r="Y104" s="8" t="s">
        <v>124</v>
      </c>
      <c r="Z104" s="8">
        <v>15</v>
      </c>
      <c r="AA104" s="12" t="s">
        <v>97</v>
      </c>
      <c r="AB104" s="11" t="s">
        <v>76</v>
      </c>
      <c r="AC104" s="10">
        <v>40</v>
      </c>
    </row>
    <row r="105" spans="3:29" ht="57" customHeight="1">
      <c r="C105" s="6">
        <f t="shared" si="57"/>
        <v>5695.95</v>
      </c>
      <c r="D105" s="61">
        <f t="shared" si="51"/>
        <v>2018.25</v>
      </c>
      <c r="E105" s="61"/>
      <c r="F105" s="7">
        <f t="shared" si="52"/>
        <v>263.25</v>
      </c>
      <c r="G105" s="62">
        <f t="shared" si="58"/>
        <v>1755</v>
      </c>
      <c r="H105" s="62"/>
      <c r="I105" s="8">
        <v>45</v>
      </c>
      <c r="J105" s="1">
        <v>39</v>
      </c>
      <c r="K105" s="10" t="s">
        <v>97</v>
      </c>
      <c r="L105" s="61">
        <f t="shared" si="53"/>
        <v>1838.85</v>
      </c>
      <c r="M105" s="61"/>
      <c r="N105" s="7">
        <f t="shared" si="54"/>
        <v>239.85</v>
      </c>
      <c r="O105" s="62">
        <f t="shared" si="59"/>
        <v>1599</v>
      </c>
      <c r="P105" s="62"/>
      <c r="Q105" s="8" t="s">
        <v>124</v>
      </c>
      <c r="R105" s="11">
        <v>39</v>
      </c>
      <c r="S105" s="10" t="s">
        <v>97</v>
      </c>
      <c r="T105" s="61">
        <f t="shared" si="55"/>
        <v>1838.85</v>
      </c>
      <c r="U105" s="61"/>
      <c r="V105" s="7">
        <f t="shared" si="56"/>
        <v>239.85</v>
      </c>
      <c r="W105" s="62">
        <f t="shared" si="60"/>
        <v>1599</v>
      </c>
      <c r="X105" s="62"/>
      <c r="Y105" s="8" t="s">
        <v>124</v>
      </c>
      <c r="Z105" s="8">
        <v>39</v>
      </c>
      <c r="AA105" s="12" t="s">
        <v>97</v>
      </c>
      <c r="AB105" s="11" t="s">
        <v>77</v>
      </c>
      <c r="AC105" s="10">
        <v>41</v>
      </c>
    </row>
    <row r="106" spans="3:29" ht="57" customHeight="1">
      <c r="C106" s="6">
        <f t="shared" si="57"/>
        <v>2190.75</v>
      </c>
      <c r="D106" s="61">
        <f t="shared" si="51"/>
        <v>776.25</v>
      </c>
      <c r="E106" s="61"/>
      <c r="F106" s="7">
        <f t="shared" si="52"/>
        <v>101.25</v>
      </c>
      <c r="G106" s="62">
        <f t="shared" si="58"/>
        <v>675</v>
      </c>
      <c r="H106" s="62"/>
      <c r="I106" s="8">
        <v>45</v>
      </c>
      <c r="J106" s="1">
        <v>15</v>
      </c>
      <c r="K106" s="10" t="s">
        <v>97</v>
      </c>
      <c r="L106" s="61">
        <f t="shared" si="53"/>
        <v>707.25</v>
      </c>
      <c r="M106" s="61"/>
      <c r="N106" s="7">
        <f t="shared" si="54"/>
        <v>92.25</v>
      </c>
      <c r="O106" s="62">
        <f t="shared" si="59"/>
        <v>615</v>
      </c>
      <c r="P106" s="62"/>
      <c r="Q106" s="8" t="s">
        <v>124</v>
      </c>
      <c r="R106" s="11">
        <v>15</v>
      </c>
      <c r="S106" s="10" t="s">
        <v>97</v>
      </c>
      <c r="T106" s="61">
        <f t="shared" si="55"/>
        <v>707.25</v>
      </c>
      <c r="U106" s="61"/>
      <c r="V106" s="7">
        <f t="shared" si="56"/>
        <v>92.25</v>
      </c>
      <c r="W106" s="62">
        <f t="shared" si="60"/>
        <v>615</v>
      </c>
      <c r="X106" s="62"/>
      <c r="Y106" s="8" t="s">
        <v>124</v>
      </c>
      <c r="Z106" s="8">
        <v>15</v>
      </c>
      <c r="AA106" s="12" t="s">
        <v>97</v>
      </c>
      <c r="AB106" s="11" t="s">
        <v>78</v>
      </c>
      <c r="AC106" s="10">
        <v>42</v>
      </c>
    </row>
    <row r="107" spans="3:29" ht="57" customHeight="1">
      <c r="C107" s="6">
        <f t="shared" si="57"/>
        <v>1752.6</v>
      </c>
      <c r="D107" s="61">
        <f t="shared" si="51"/>
        <v>621</v>
      </c>
      <c r="E107" s="61"/>
      <c r="F107" s="7">
        <f t="shared" si="52"/>
        <v>81</v>
      </c>
      <c r="G107" s="62">
        <f t="shared" si="58"/>
        <v>540</v>
      </c>
      <c r="H107" s="62"/>
      <c r="I107" s="8">
        <v>45</v>
      </c>
      <c r="J107" s="1">
        <v>12</v>
      </c>
      <c r="K107" s="10" t="s">
        <v>97</v>
      </c>
      <c r="L107" s="61">
        <f t="shared" si="53"/>
        <v>565.79999999999995</v>
      </c>
      <c r="M107" s="61"/>
      <c r="N107" s="7">
        <f t="shared" si="54"/>
        <v>73.8</v>
      </c>
      <c r="O107" s="62">
        <f t="shared" si="59"/>
        <v>492</v>
      </c>
      <c r="P107" s="62"/>
      <c r="Q107" s="8" t="s">
        <v>124</v>
      </c>
      <c r="R107" s="11">
        <v>12</v>
      </c>
      <c r="S107" s="10" t="s">
        <v>97</v>
      </c>
      <c r="T107" s="61">
        <f t="shared" si="55"/>
        <v>565.79999999999995</v>
      </c>
      <c r="U107" s="61"/>
      <c r="V107" s="7">
        <f t="shared" si="56"/>
        <v>73.8</v>
      </c>
      <c r="W107" s="62">
        <f t="shared" si="60"/>
        <v>492</v>
      </c>
      <c r="X107" s="62"/>
      <c r="Y107" s="8" t="s">
        <v>124</v>
      </c>
      <c r="Z107" s="8">
        <v>12</v>
      </c>
      <c r="AA107" s="12" t="s">
        <v>97</v>
      </c>
      <c r="AB107" s="11" t="s">
        <v>79</v>
      </c>
      <c r="AC107" s="10">
        <v>43</v>
      </c>
    </row>
    <row r="108" spans="3:29" ht="57" customHeight="1">
      <c r="C108" s="6">
        <f t="shared" si="57"/>
        <v>1314.45</v>
      </c>
      <c r="D108" s="61">
        <f t="shared" si="51"/>
        <v>465.75</v>
      </c>
      <c r="E108" s="61"/>
      <c r="F108" s="7">
        <f t="shared" si="52"/>
        <v>60.75</v>
      </c>
      <c r="G108" s="62">
        <f t="shared" si="58"/>
        <v>405</v>
      </c>
      <c r="H108" s="62"/>
      <c r="I108" s="8">
        <v>45</v>
      </c>
      <c r="J108" s="1">
        <v>9</v>
      </c>
      <c r="K108" s="10" t="s">
        <v>97</v>
      </c>
      <c r="L108" s="61">
        <f t="shared" si="53"/>
        <v>424.35</v>
      </c>
      <c r="M108" s="61"/>
      <c r="N108" s="7">
        <f t="shared" si="54"/>
        <v>55.35</v>
      </c>
      <c r="O108" s="62">
        <f t="shared" si="59"/>
        <v>369</v>
      </c>
      <c r="P108" s="62"/>
      <c r="Q108" s="8" t="s">
        <v>124</v>
      </c>
      <c r="R108" s="11">
        <v>9</v>
      </c>
      <c r="S108" s="10" t="s">
        <v>97</v>
      </c>
      <c r="T108" s="61">
        <f t="shared" si="55"/>
        <v>424.35</v>
      </c>
      <c r="U108" s="61"/>
      <c r="V108" s="7">
        <f t="shared" si="56"/>
        <v>55.35</v>
      </c>
      <c r="W108" s="62">
        <f t="shared" si="60"/>
        <v>369</v>
      </c>
      <c r="X108" s="62"/>
      <c r="Y108" s="8" t="s">
        <v>124</v>
      </c>
      <c r="Z108" s="8">
        <v>9</v>
      </c>
      <c r="AA108" s="12" t="s">
        <v>97</v>
      </c>
      <c r="AB108" s="11" t="s">
        <v>80</v>
      </c>
      <c r="AC108" s="10">
        <v>44</v>
      </c>
    </row>
    <row r="109" spans="3:29" ht="57" customHeight="1">
      <c r="C109" s="6">
        <f t="shared" si="57"/>
        <v>2628.9</v>
      </c>
      <c r="D109" s="61">
        <f t="shared" si="51"/>
        <v>931.5</v>
      </c>
      <c r="E109" s="61"/>
      <c r="F109" s="7">
        <f t="shared" si="52"/>
        <v>121.5</v>
      </c>
      <c r="G109" s="62">
        <f t="shared" si="58"/>
        <v>810</v>
      </c>
      <c r="H109" s="62"/>
      <c r="I109" s="8">
        <v>45</v>
      </c>
      <c r="J109" s="1">
        <v>18</v>
      </c>
      <c r="K109" s="10" t="s">
        <v>97</v>
      </c>
      <c r="L109" s="61">
        <f t="shared" si="53"/>
        <v>848.7</v>
      </c>
      <c r="M109" s="61"/>
      <c r="N109" s="7">
        <f t="shared" si="54"/>
        <v>110.7</v>
      </c>
      <c r="O109" s="62">
        <f t="shared" si="59"/>
        <v>738</v>
      </c>
      <c r="P109" s="62"/>
      <c r="Q109" s="8" t="s">
        <v>124</v>
      </c>
      <c r="R109" s="11">
        <v>18</v>
      </c>
      <c r="S109" s="10" t="s">
        <v>97</v>
      </c>
      <c r="T109" s="61">
        <f t="shared" si="55"/>
        <v>848.7</v>
      </c>
      <c r="U109" s="61"/>
      <c r="V109" s="7">
        <f t="shared" si="56"/>
        <v>110.7</v>
      </c>
      <c r="W109" s="62">
        <f t="shared" si="60"/>
        <v>738</v>
      </c>
      <c r="X109" s="62"/>
      <c r="Y109" s="8" t="s">
        <v>124</v>
      </c>
      <c r="Z109" s="8">
        <v>18</v>
      </c>
      <c r="AA109" s="12" t="s">
        <v>97</v>
      </c>
      <c r="AB109" s="11" t="s">
        <v>81</v>
      </c>
      <c r="AC109" s="10">
        <v>45</v>
      </c>
    </row>
    <row r="110" spans="3:29" ht="57" customHeight="1">
      <c r="C110" s="6">
        <f t="shared" si="57"/>
        <v>2190.75</v>
      </c>
      <c r="D110" s="61">
        <f t="shared" si="51"/>
        <v>776.25</v>
      </c>
      <c r="E110" s="61"/>
      <c r="F110" s="7">
        <f t="shared" si="52"/>
        <v>101.25</v>
      </c>
      <c r="G110" s="62">
        <f t="shared" si="58"/>
        <v>675</v>
      </c>
      <c r="H110" s="62"/>
      <c r="I110" s="8">
        <v>45</v>
      </c>
      <c r="J110" s="1">
        <v>15</v>
      </c>
      <c r="K110" s="10" t="s">
        <v>97</v>
      </c>
      <c r="L110" s="61">
        <f t="shared" si="53"/>
        <v>707.25</v>
      </c>
      <c r="M110" s="61"/>
      <c r="N110" s="7">
        <f t="shared" si="54"/>
        <v>92.25</v>
      </c>
      <c r="O110" s="62">
        <f t="shared" si="59"/>
        <v>615</v>
      </c>
      <c r="P110" s="62"/>
      <c r="Q110" s="8" t="s">
        <v>124</v>
      </c>
      <c r="R110" s="11">
        <v>15</v>
      </c>
      <c r="S110" s="10" t="s">
        <v>97</v>
      </c>
      <c r="T110" s="61">
        <f t="shared" si="55"/>
        <v>707.25</v>
      </c>
      <c r="U110" s="61"/>
      <c r="V110" s="7">
        <f t="shared" si="56"/>
        <v>92.25</v>
      </c>
      <c r="W110" s="62">
        <f t="shared" si="60"/>
        <v>615</v>
      </c>
      <c r="X110" s="62"/>
      <c r="Y110" s="8" t="s">
        <v>124</v>
      </c>
      <c r="Z110" s="8">
        <v>15</v>
      </c>
      <c r="AA110" s="12" t="s">
        <v>97</v>
      </c>
      <c r="AB110" s="11" t="s">
        <v>82</v>
      </c>
      <c r="AC110" s="10">
        <v>46</v>
      </c>
    </row>
    <row r="111" spans="3:29" ht="57" customHeight="1">
      <c r="C111" s="6">
        <f t="shared" si="57"/>
        <v>1752.6</v>
      </c>
      <c r="D111" s="61">
        <f t="shared" si="51"/>
        <v>621</v>
      </c>
      <c r="E111" s="61"/>
      <c r="F111" s="7">
        <f t="shared" si="52"/>
        <v>81</v>
      </c>
      <c r="G111" s="62">
        <f t="shared" si="58"/>
        <v>540</v>
      </c>
      <c r="H111" s="62"/>
      <c r="I111" s="8">
        <v>45</v>
      </c>
      <c r="J111" s="1">
        <v>12</v>
      </c>
      <c r="K111" s="10" t="s">
        <v>97</v>
      </c>
      <c r="L111" s="61">
        <f t="shared" si="53"/>
        <v>565.79999999999995</v>
      </c>
      <c r="M111" s="61"/>
      <c r="N111" s="7">
        <f t="shared" si="54"/>
        <v>73.8</v>
      </c>
      <c r="O111" s="62">
        <f t="shared" si="59"/>
        <v>492</v>
      </c>
      <c r="P111" s="62"/>
      <c r="Q111" s="8" t="s">
        <v>124</v>
      </c>
      <c r="R111" s="11">
        <v>12</v>
      </c>
      <c r="S111" s="10" t="s">
        <v>97</v>
      </c>
      <c r="T111" s="61">
        <f t="shared" si="55"/>
        <v>565.79999999999995</v>
      </c>
      <c r="U111" s="61"/>
      <c r="V111" s="7">
        <f t="shared" si="56"/>
        <v>73.8</v>
      </c>
      <c r="W111" s="62">
        <f t="shared" si="60"/>
        <v>492</v>
      </c>
      <c r="X111" s="62"/>
      <c r="Y111" s="8" t="s">
        <v>124</v>
      </c>
      <c r="Z111" s="8">
        <v>12</v>
      </c>
      <c r="AA111" s="12" t="s">
        <v>97</v>
      </c>
      <c r="AB111" s="11" t="s">
        <v>83</v>
      </c>
      <c r="AC111" s="10">
        <v>47</v>
      </c>
    </row>
    <row r="112" spans="3:29" ht="57" customHeight="1">
      <c r="C112" s="6">
        <f t="shared" si="57"/>
        <v>1314.45</v>
      </c>
      <c r="D112" s="61">
        <f t="shared" si="51"/>
        <v>465.75</v>
      </c>
      <c r="E112" s="61"/>
      <c r="F112" s="7">
        <f t="shared" si="52"/>
        <v>60.75</v>
      </c>
      <c r="G112" s="62">
        <f t="shared" si="58"/>
        <v>405</v>
      </c>
      <c r="H112" s="62"/>
      <c r="I112" s="8">
        <v>45</v>
      </c>
      <c r="J112" s="1">
        <v>9</v>
      </c>
      <c r="K112" s="10" t="s">
        <v>97</v>
      </c>
      <c r="L112" s="61">
        <f t="shared" si="53"/>
        <v>424.35</v>
      </c>
      <c r="M112" s="61"/>
      <c r="N112" s="7">
        <f t="shared" si="54"/>
        <v>55.35</v>
      </c>
      <c r="O112" s="62">
        <f t="shared" si="59"/>
        <v>369</v>
      </c>
      <c r="P112" s="62"/>
      <c r="Q112" s="8" t="s">
        <v>124</v>
      </c>
      <c r="R112" s="11">
        <v>9</v>
      </c>
      <c r="S112" s="10" t="s">
        <v>97</v>
      </c>
      <c r="T112" s="61">
        <f t="shared" si="55"/>
        <v>424.35</v>
      </c>
      <c r="U112" s="61"/>
      <c r="V112" s="7">
        <f t="shared" si="56"/>
        <v>55.35</v>
      </c>
      <c r="W112" s="62">
        <f t="shared" si="60"/>
        <v>369</v>
      </c>
      <c r="X112" s="62"/>
      <c r="Y112" s="8" t="s">
        <v>124</v>
      </c>
      <c r="Z112" s="8">
        <v>9</v>
      </c>
      <c r="AA112" s="12" t="s">
        <v>97</v>
      </c>
      <c r="AB112" s="11" t="s">
        <v>84</v>
      </c>
      <c r="AC112" s="10">
        <v>48</v>
      </c>
    </row>
    <row r="113" spans="3:29" ht="57" customHeight="1">
      <c r="C113" s="6">
        <f t="shared" si="57"/>
        <v>2190.75</v>
      </c>
      <c r="D113" s="61">
        <f t="shared" si="51"/>
        <v>776.25</v>
      </c>
      <c r="E113" s="61"/>
      <c r="F113" s="7">
        <f t="shared" si="52"/>
        <v>101.25</v>
      </c>
      <c r="G113" s="62">
        <f t="shared" si="58"/>
        <v>675</v>
      </c>
      <c r="H113" s="62"/>
      <c r="I113" s="8">
        <v>45</v>
      </c>
      <c r="J113" s="1">
        <v>15</v>
      </c>
      <c r="K113" s="10" t="s">
        <v>97</v>
      </c>
      <c r="L113" s="61">
        <f t="shared" si="53"/>
        <v>707.25</v>
      </c>
      <c r="M113" s="61"/>
      <c r="N113" s="7">
        <f t="shared" si="54"/>
        <v>92.25</v>
      </c>
      <c r="O113" s="62">
        <f t="shared" si="59"/>
        <v>615</v>
      </c>
      <c r="P113" s="62"/>
      <c r="Q113" s="8" t="s">
        <v>124</v>
      </c>
      <c r="R113" s="11">
        <v>15</v>
      </c>
      <c r="S113" s="10" t="s">
        <v>97</v>
      </c>
      <c r="T113" s="61">
        <f t="shared" si="55"/>
        <v>707.25</v>
      </c>
      <c r="U113" s="61"/>
      <c r="V113" s="7">
        <f t="shared" si="56"/>
        <v>92.25</v>
      </c>
      <c r="W113" s="62">
        <f t="shared" si="60"/>
        <v>615</v>
      </c>
      <c r="X113" s="62"/>
      <c r="Y113" s="8" t="s">
        <v>124</v>
      </c>
      <c r="Z113" s="8">
        <v>15</v>
      </c>
      <c r="AA113" s="12" t="s">
        <v>97</v>
      </c>
      <c r="AB113" s="11" t="s">
        <v>85</v>
      </c>
      <c r="AC113" s="10">
        <v>49</v>
      </c>
    </row>
    <row r="114" spans="3:29" ht="57" customHeight="1">
      <c r="C114" s="6">
        <f t="shared" si="57"/>
        <v>2190.75</v>
      </c>
      <c r="D114" s="61">
        <f t="shared" si="51"/>
        <v>776.25</v>
      </c>
      <c r="E114" s="61"/>
      <c r="F114" s="7">
        <f t="shared" si="52"/>
        <v>101.25</v>
      </c>
      <c r="G114" s="62">
        <f t="shared" si="58"/>
        <v>675</v>
      </c>
      <c r="H114" s="62"/>
      <c r="I114" s="8">
        <v>45</v>
      </c>
      <c r="J114" s="1">
        <v>15</v>
      </c>
      <c r="K114" s="10" t="s">
        <v>97</v>
      </c>
      <c r="L114" s="61">
        <f t="shared" si="53"/>
        <v>707.25</v>
      </c>
      <c r="M114" s="61"/>
      <c r="N114" s="7">
        <f t="shared" si="54"/>
        <v>92.25</v>
      </c>
      <c r="O114" s="62">
        <f t="shared" si="59"/>
        <v>615</v>
      </c>
      <c r="P114" s="62"/>
      <c r="Q114" s="8" t="s">
        <v>124</v>
      </c>
      <c r="R114" s="11">
        <v>15</v>
      </c>
      <c r="S114" s="10" t="s">
        <v>97</v>
      </c>
      <c r="T114" s="61">
        <f t="shared" si="55"/>
        <v>707.25</v>
      </c>
      <c r="U114" s="61"/>
      <c r="V114" s="7">
        <f t="shared" si="56"/>
        <v>92.25</v>
      </c>
      <c r="W114" s="62">
        <f t="shared" si="60"/>
        <v>615</v>
      </c>
      <c r="X114" s="62"/>
      <c r="Y114" s="8" t="s">
        <v>124</v>
      </c>
      <c r="Z114" s="8">
        <v>15</v>
      </c>
      <c r="AA114" s="12" t="s">
        <v>97</v>
      </c>
      <c r="AB114" s="11" t="s">
        <v>86</v>
      </c>
      <c r="AC114" s="10">
        <v>50</v>
      </c>
    </row>
    <row r="115" spans="3:29" ht="57" customHeight="1">
      <c r="C115" s="6">
        <f t="shared" si="57"/>
        <v>438.15</v>
      </c>
      <c r="D115" s="61">
        <f t="shared" si="51"/>
        <v>155.25</v>
      </c>
      <c r="E115" s="61"/>
      <c r="F115" s="7">
        <f t="shared" si="52"/>
        <v>20.25</v>
      </c>
      <c r="G115" s="62">
        <f t="shared" si="58"/>
        <v>135</v>
      </c>
      <c r="H115" s="62"/>
      <c r="I115" s="8">
        <v>45</v>
      </c>
      <c r="J115" s="1">
        <v>3</v>
      </c>
      <c r="K115" s="10" t="s">
        <v>97</v>
      </c>
      <c r="L115" s="61">
        <f t="shared" si="53"/>
        <v>141.44999999999999</v>
      </c>
      <c r="M115" s="61"/>
      <c r="N115" s="7">
        <f t="shared" si="54"/>
        <v>18.45</v>
      </c>
      <c r="O115" s="62">
        <f t="shared" si="59"/>
        <v>123</v>
      </c>
      <c r="P115" s="62"/>
      <c r="Q115" s="8" t="s">
        <v>124</v>
      </c>
      <c r="R115" s="11">
        <v>3</v>
      </c>
      <c r="S115" s="10" t="s">
        <v>97</v>
      </c>
      <c r="T115" s="61">
        <f t="shared" si="55"/>
        <v>141.44999999999999</v>
      </c>
      <c r="U115" s="61"/>
      <c r="V115" s="7">
        <f t="shared" si="56"/>
        <v>18.45</v>
      </c>
      <c r="W115" s="62">
        <f t="shared" si="60"/>
        <v>123</v>
      </c>
      <c r="X115" s="62"/>
      <c r="Y115" s="8" t="s">
        <v>124</v>
      </c>
      <c r="Z115" s="8">
        <v>3</v>
      </c>
      <c r="AA115" s="12" t="s">
        <v>97</v>
      </c>
      <c r="AB115" s="11" t="s">
        <v>87</v>
      </c>
      <c r="AC115" s="10">
        <v>51</v>
      </c>
    </row>
    <row r="116" spans="3:29" ht="57" customHeight="1">
      <c r="C116" s="6">
        <f t="shared" si="57"/>
        <v>1314.45</v>
      </c>
      <c r="D116" s="61">
        <f t="shared" si="51"/>
        <v>465.75</v>
      </c>
      <c r="E116" s="61"/>
      <c r="F116" s="7">
        <f t="shared" si="52"/>
        <v>60.75</v>
      </c>
      <c r="G116" s="62">
        <f t="shared" si="58"/>
        <v>405</v>
      </c>
      <c r="H116" s="62"/>
      <c r="I116" s="8">
        <v>45</v>
      </c>
      <c r="J116" s="1">
        <v>9</v>
      </c>
      <c r="K116" s="10" t="s">
        <v>97</v>
      </c>
      <c r="L116" s="61">
        <f t="shared" si="53"/>
        <v>424.35</v>
      </c>
      <c r="M116" s="61"/>
      <c r="N116" s="7">
        <f t="shared" si="54"/>
        <v>55.35</v>
      </c>
      <c r="O116" s="62">
        <f t="shared" si="59"/>
        <v>369</v>
      </c>
      <c r="P116" s="62"/>
      <c r="Q116" s="8" t="s">
        <v>124</v>
      </c>
      <c r="R116" s="11">
        <v>9</v>
      </c>
      <c r="S116" s="10" t="s">
        <v>97</v>
      </c>
      <c r="T116" s="61">
        <f t="shared" si="55"/>
        <v>424.35</v>
      </c>
      <c r="U116" s="61"/>
      <c r="V116" s="7">
        <f t="shared" si="56"/>
        <v>55.35</v>
      </c>
      <c r="W116" s="62">
        <f t="shared" si="60"/>
        <v>369</v>
      </c>
      <c r="X116" s="62"/>
      <c r="Y116" s="8" t="s">
        <v>124</v>
      </c>
      <c r="Z116" s="8">
        <v>9</v>
      </c>
      <c r="AA116" s="12" t="s">
        <v>97</v>
      </c>
      <c r="AB116" s="11" t="s">
        <v>88</v>
      </c>
      <c r="AC116" s="10">
        <v>52</v>
      </c>
    </row>
    <row r="117" spans="3:29" ht="57" customHeight="1">
      <c r="C117" s="6">
        <f t="shared" si="57"/>
        <v>438.15</v>
      </c>
      <c r="D117" s="61">
        <f t="shared" si="51"/>
        <v>155.25</v>
      </c>
      <c r="E117" s="61"/>
      <c r="F117" s="7">
        <f t="shared" si="52"/>
        <v>20.25</v>
      </c>
      <c r="G117" s="62">
        <f t="shared" si="58"/>
        <v>135</v>
      </c>
      <c r="H117" s="62"/>
      <c r="I117" s="8">
        <v>45</v>
      </c>
      <c r="J117" s="1">
        <v>3</v>
      </c>
      <c r="K117" s="10" t="s">
        <v>97</v>
      </c>
      <c r="L117" s="61">
        <f t="shared" si="53"/>
        <v>141.44999999999999</v>
      </c>
      <c r="M117" s="61"/>
      <c r="N117" s="7">
        <f t="shared" si="54"/>
        <v>18.45</v>
      </c>
      <c r="O117" s="62">
        <f t="shared" si="59"/>
        <v>123</v>
      </c>
      <c r="P117" s="62"/>
      <c r="Q117" s="8" t="s">
        <v>124</v>
      </c>
      <c r="R117" s="11">
        <v>3</v>
      </c>
      <c r="S117" s="10" t="s">
        <v>97</v>
      </c>
      <c r="T117" s="61">
        <f t="shared" si="55"/>
        <v>141.44999999999999</v>
      </c>
      <c r="U117" s="61"/>
      <c r="V117" s="7">
        <f t="shared" si="56"/>
        <v>18.45</v>
      </c>
      <c r="W117" s="62">
        <f t="shared" si="60"/>
        <v>123</v>
      </c>
      <c r="X117" s="62"/>
      <c r="Y117" s="8" t="s">
        <v>124</v>
      </c>
      <c r="Z117" s="8">
        <v>3</v>
      </c>
      <c r="AA117" s="12" t="s">
        <v>97</v>
      </c>
      <c r="AB117" s="11" t="s">
        <v>89</v>
      </c>
      <c r="AC117" s="10">
        <v>53</v>
      </c>
    </row>
    <row r="118" spans="3:29" ht="57" customHeight="1">
      <c r="C118" s="6">
        <f t="shared" si="57"/>
        <v>1314.45</v>
      </c>
      <c r="D118" s="61">
        <f t="shared" si="51"/>
        <v>465.75</v>
      </c>
      <c r="E118" s="61"/>
      <c r="F118" s="7">
        <f t="shared" si="52"/>
        <v>60.75</v>
      </c>
      <c r="G118" s="62">
        <f t="shared" si="58"/>
        <v>405</v>
      </c>
      <c r="H118" s="62"/>
      <c r="I118" s="8">
        <v>45</v>
      </c>
      <c r="J118" s="1">
        <v>9</v>
      </c>
      <c r="K118" s="10" t="s">
        <v>97</v>
      </c>
      <c r="L118" s="61">
        <f t="shared" si="53"/>
        <v>424.35</v>
      </c>
      <c r="M118" s="61"/>
      <c r="N118" s="7">
        <f t="shared" si="54"/>
        <v>55.35</v>
      </c>
      <c r="O118" s="62">
        <f t="shared" si="59"/>
        <v>369</v>
      </c>
      <c r="P118" s="62"/>
      <c r="Q118" s="8" t="s">
        <v>124</v>
      </c>
      <c r="R118" s="11">
        <v>9</v>
      </c>
      <c r="S118" s="10" t="s">
        <v>97</v>
      </c>
      <c r="T118" s="61">
        <f t="shared" si="55"/>
        <v>424.35</v>
      </c>
      <c r="U118" s="61"/>
      <c r="V118" s="7">
        <f t="shared" si="56"/>
        <v>55.35</v>
      </c>
      <c r="W118" s="62">
        <f t="shared" si="60"/>
        <v>369</v>
      </c>
      <c r="X118" s="62"/>
      <c r="Y118" s="8" t="s">
        <v>124</v>
      </c>
      <c r="Z118" s="8">
        <v>9</v>
      </c>
      <c r="AA118" s="12" t="s">
        <v>97</v>
      </c>
      <c r="AB118" s="11" t="s">
        <v>90</v>
      </c>
      <c r="AC118" s="10">
        <v>54</v>
      </c>
    </row>
    <row r="119" spans="3:29" ht="57" customHeight="1">
      <c r="C119" s="6">
        <f t="shared" si="57"/>
        <v>876.3</v>
      </c>
      <c r="D119" s="61">
        <f t="shared" si="51"/>
        <v>310.5</v>
      </c>
      <c r="E119" s="61"/>
      <c r="F119" s="7">
        <f t="shared" si="52"/>
        <v>40.5</v>
      </c>
      <c r="G119" s="62">
        <f t="shared" si="58"/>
        <v>270</v>
      </c>
      <c r="H119" s="62"/>
      <c r="I119" s="8">
        <v>45</v>
      </c>
      <c r="J119" s="1">
        <v>6</v>
      </c>
      <c r="K119" s="10" t="s">
        <v>97</v>
      </c>
      <c r="L119" s="61">
        <f t="shared" si="53"/>
        <v>282.89999999999998</v>
      </c>
      <c r="M119" s="61"/>
      <c r="N119" s="7">
        <f t="shared" si="54"/>
        <v>36.9</v>
      </c>
      <c r="O119" s="62">
        <f t="shared" si="59"/>
        <v>246</v>
      </c>
      <c r="P119" s="62"/>
      <c r="Q119" s="8" t="s">
        <v>124</v>
      </c>
      <c r="R119" s="11">
        <v>6</v>
      </c>
      <c r="S119" s="10" t="s">
        <v>97</v>
      </c>
      <c r="T119" s="61">
        <f t="shared" si="55"/>
        <v>282.89999999999998</v>
      </c>
      <c r="U119" s="61"/>
      <c r="V119" s="7">
        <f t="shared" si="56"/>
        <v>36.9</v>
      </c>
      <c r="W119" s="62">
        <f t="shared" si="60"/>
        <v>246</v>
      </c>
      <c r="X119" s="62"/>
      <c r="Y119" s="8" t="s">
        <v>124</v>
      </c>
      <c r="Z119" s="8">
        <v>6</v>
      </c>
      <c r="AA119" s="12" t="s">
        <v>97</v>
      </c>
      <c r="AB119" s="11" t="s">
        <v>91</v>
      </c>
      <c r="AC119" s="10">
        <v>55</v>
      </c>
    </row>
    <row r="120" spans="3:29" ht="57" customHeight="1">
      <c r="C120" s="6">
        <f t="shared" si="57"/>
        <v>966</v>
      </c>
      <c r="D120" s="61">
        <f>F120+G120</f>
        <v>345</v>
      </c>
      <c r="E120" s="61"/>
      <c r="F120" s="7">
        <f>G120*0.15</f>
        <v>45</v>
      </c>
      <c r="G120" s="62">
        <f t="shared" si="58"/>
        <v>300</v>
      </c>
      <c r="H120" s="62"/>
      <c r="I120" s="8">
        <v>50</v>
      </c>
      <c r="J120" s="1">
        <v>6</v>
      </c>
      <c r="K120" s="10" t="s">
        <v>97</v>
      </c>
      <c r="L120" s="61">
        <f>N120+O120</f>
        <v>310.5</v>
      </c>
      <c r="M120" s="61"/>
      <c r="N120" s="7">
        <f>O120*0.15</f>
        <v>40.5</v>
      </c>
      <c r="O120" s="62">
        <f t="shared" si="59"/>
        <v>270</v>
      </c>
      <c r="P120" s="62"/>
      <c r="Q120" s="8" t="s">
        <v>98</v>
      </c>
      <c r="R120" s="11">
        <v>6</v>
      </c>
      <c r="S120" s="10" t="s">
        <v>97</v>
      </c>
      <c r="T120" s="61">
        <f>V120+W120</f>
        <v>310.5</v>
      </c>
      <c r="U120" s="61"/>
      <c r="V120" s="7">
        <f>W120*0.15</f>
        <v>40.5</v>
      </c>
      <c r="W120" s="62">
        <f t="shared" si="60"/>
        <v>270</v>
      </c>
      <c r="X120" s="62"/>
      <c r="Y120" s="8" t="s">
        <v>98</v>
      </c>
      <c r="Z120" s="8">
        <v>6</v>
      </c>
      <c r="AA120" s="12" t="s">
        <v>97</v>
      </c>
      <c r="AB120" s="11" t="s">
        <v>92</v>
      </c>
      <c r="AC120" s="10">
        <v>56</v>
      </c>
    </row>
    <row r="121" spans="3:29" ht="57" customHeight="1">
      <c r="C121" s="6">
        <f t="shared" si="57"/>
        <v>438.15</v>
      </c>
      <c r="D121" s="61">
        <f t="shared" ref="D121:D124" si="61">F121+G121</f>
        <v>155.25</v>
      </c>
      <c r="E121" s="61"/>
      <c r="F121" s="7">
        <f t="shared" ref="F121:F124" si="62">G121*0.15</f>
        <v>20.25</v>
      </c>
      <c r="G121" s="62">
        <f t="shared" si="58"/>
        <v>135</v>
      </c>
      <c r="H121" s="62"/>
      <c r="I121" s="8">
        <v>45</v>
      </c>
      <c r="J121" s="13">
        <v>3</v>
      </c>
      <c r="K121" s="1" t="s">
        <v>97</v>
      </c>
      <c r="L121" s="61">
        <f t="shared" ref="L121:L124" si="63">N121+O121</f>
        <v>141.44999999999999</v>
      </c>
      <c r="M121" s="61"/>
      <c r="N121" s="7">
        <f t="shared" ref="N121:N124" si="64">O121*0.15</f>
        <v>18.45</v>
      </c>
      <c r="O121" s="62">
        <f t="shared" si="59"/>
        <v>123</v>
      </c>
      <c r="P121" s="62"/>
      <c r="Q121" s="8" t="s">
        <v>124</v>
      </c>
      <c r="R121" s="11">
        <v>3</v>
      </c>
      <c r="S121" s="10" t="s">
        <v>97</v>
      </c>
      <c r="T121" s="61">
        <f t="shared" ref="T121:T124" si="65">V121+W121</f>
        <v>141.44999999999999</v>
      </c>
      <c r="U121" s="61"/>
      <c r="V121" s="7">
        <f t="shared" ref="V121:V124" si="66">W121*0.15</f>
        <v>18.45</v>
      </c>
      <c r="W121" s="62">
        <f t="shared" si="60"/>
        <v>123</v>
      </c>
      <c r="X121" s="62"/>
      <c r="Y121" s="8" t="s">
        <v>124</v>
      </c>
      <c r="Z121" s="8">
        <v>3</v>
      </c>
      <c r="AA121" s="1" t="s">
        <v>97</v>
      </c>
      <c r="AB121" s="11" t="s">
        <v>93</v>
      </c>
      <c r="AC121" s="1">
        <v>57</v>
      </c>
    </row>
    <row r="122" spans="3:29" ht="57" customHeight="1">
      <c r="C122" s="6">
        <f t="shared" si="57"/>
        <v>438.15</v>
      </c>
      <c r="D122" s="61">
        <f t="shared" si="61"/>
        <v>155.25</v>
      </c>
      <c r="E122" s="61"/>
      <c r="F122" s="7">
        <f t="shared" si="62"/>
        <v>20.25</v>
      </c>
      <c r="G122" s="62">
        <f t="shared" si="58"/>
        <v>135</v>
      </c>
      <c r="H122" s="62"/>
      <c r="I122" s="8">
        <v>45</v>
      </c>
      <c r="J122" s="13">
        <v>3</v>
      </c>
      <c r="K122" s="1" t="s">
        <v>97</v>
      </c>
      <c r="L122" s="61">
        <f t="shared" si="63"/>
        <v>141.44999999999999</v>
      </c>
      <c r="M122" s="61"/>
      <c r="N122" s="7">
        <f t="shared" si="64"/>
        <v>18.45</v>
      </c>
      <c r="O122" s="62">
        <f t="shared" si="59"/>
        <v>123</v>
      </c>
      <c r="P122" s="62"/>
      <c r="Q122" s="8" t="s">
        <v>124</v>
      </c>
      <c r="R122" s="11">
        <v>3</v>
      </c>
      <c r="S122" s="10" t="s">
        <v>97</v>
      </c>
      <c r="T122" s="61">
        <f t="shared" si="65"/>
        <v>141.44999999999999</v>
      </c>
      <c r="U122" s="61"/>
      <c r="V122" s="7">
        <f t="shared" si="66"/>
        <v>18.45</v>
      </c>
      <c r="W122" s="62">
        <f t="shared" si="60"/>
        <v>123</v>
      </c>
      <c r="X122" s="62"/>
      <c r="Y122" s="8" t="s">
        <v>124</v>
      </c>
      <c r="Z122" s="8">
        <v>3</v>
      </c>
      <c r="AA122" s="1" t="s">
        <v>97</v>
      </c>
      <c r="AB122" s="11" t="s">
        <v>94</v>
      </c>
      <c r="AC122" s="1">
        <v>58</v>
      </c>
    </row>
    <row r="123" spans="3:29" ht="57" customHeight="1">
      <c r="C123" s="6">
        <f t="shared" si="57"/>
        <v>438.15</v>
      </c>
      <c r="D123" s="61">
        <f t="shared" si="61"/>
        <v>155.25</v>
      </c>
      <c r="E123" s="61"/>
      <c r="F123" s="7">
        <f t="shared" si="62"/>
        <v>20.25</v>
      </c>
      <c r="G123" s="62">
        <f t="shared" si="58"/>
        <v>135</v>
      </c>
      <c r="H123" s="62"/>
      <c r="I123" s="8">
        <v>45</v>
      </c>
      <c r="J123" s="13">
        <v>3</v>
      </c>
      <c r="K123" s="1" t="s">
        <v>97</v>
      </c>
      <c r="L123" s="61">
        <f t="shared" si="63"/>
        <v>141.44999999999999</v>
      </c>
      <c r="M123" s="61"/>
      <c r="N123" s="7">
        <f t="shared" si="64"/>
        <v>18.45</v>
      </c>
      <c r="O123" s="62">
        <f t="shared" si="59"/>
        <v>123</v>
      </c>
      <c r="P123" s="62"/>
      <c r="Q123" s="8" t="s">
        <v>124</v>
      </c>
      <c r="R123" s="11">
        <v>3</v>
      </c>
      <c r="S123" s="10" t="s">
        <v>97</v>
      </c>
      <c r="T123" s="61">
        <f t="shared" si="65"/>
        <v>141.44999999999999</v>
      </c>
      <c r="U123" s="61"/>
      <c r="V123" s="7">
        <f t="shared" si="66"/>
        <v>18.45</v>
      </c>
      <c r="W123" s="62">
        <f t="shared" si="60"/>
        <v>123</v>
      </c>
      <c r="X123" s="62"/>
      <c r="Y123" s="8" t="s">
        <v>124</v>
      </c>
      <c r="Z123" s="8">
        <v>3</v>
      </c>
      <c r="AA123" s="1" t="s">
        <v>97</v>
      </c>
      <c r="AB123" s="11" t="s">
        <v>95</v>
      </c>
      <c r="AC123" s="1">
        <v>59</v>
      </c>
    </row>
    <row r="124" spans="3:29" ht="57" customHeight="1">
      <c r="C124" s="6">
        <f t="shared" si="57"/>
        <v>438.15</v>
      </c>
      <c r="D124" s="61">
        <f t="shared" si="61"/>
        <v>155.25</v>
      </c>
      <c r="E124" s="61"/>
      <c r="F124" s="7">
        <f t="shared" si="62"/>
        <v>20.25</v>
      </c>
      <c r="G124" s="62">
        <f t="shared" si="58"/>
        <v>135</v>
      </c>
      <c r="H124" s="62"/>
      <c r="I124" s="8">
        <v>45</v>
      </c>
      <c r="J124" s="13">
        <v>3</v>
      </c>
      <c r="K124" s="1" t="s">
        <v>97</v>
      </c>
      <c r="L124" s="61">
        <f t="shared" si="63"/>
        <v>141.44999999999999</v>
      </c>
      <c r="M124" s="61"/>
      <c r="N124" s="7">
        <f t="shared" si="64"/>
        <v>18.45</v>
      </c>
      <c r="O124" s="62">
        <f t="shared" si="59"/>
        <v>123</v>
      </c>
      <c r="P124" s="62"/>
      <c r="Q124" s="8" t="s">
        <v>124</v>
      </c>
      <c r="R124" s="11">
        <v>3</v>
      </c>
      <c r="S124" s="10" t="s">
        <v>97</v>
      </c>
      <c r="T124" s="61">
        <f t="shared" si="65"/>
        <v>141.44999999999999</v>
      </c>
      <c r="U124" s="61"/>
      <c r="V124" s="7">
        <f t="shared" si="66"/>
        <v>18.45</v>
      </c>
      <c r="W124" s="62">
        <f t="shared" si="60"/>
        <v>123</v>
      </c>
      <c r="X124" s="62"/>
      <c r="Y124" s="8" t="s">
        <v>124</v>
      </c>
      <c r="Z124" s="8">
        <v>3</v>
      </c>
      <c r="AA124" s="1" t="s">
        <v>97</v>
      </c>
      <c r="AB124" s="11" t="s">
        <v>96</v>
      </c>
      <c r="AC124" s="1">
        <v>60</v>
      </c>
    </row>
    <row r="125" spans="3:29" ht="57" customHeight="1">
      <c r="D125" s="105">
        <f>SUM(C65:C124)*0.85</f>
        <v>2084898.9974999996</v>
      </c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76" t="s">
        <v>114</v>
      </c>
      <c r="AA125" s="76"/>
      <c r="AB125" s="76"/>
      <c r="AC125" s="77"/>
    </row>
    <row r="126" spans="3:29" ht="57" customHeight="1">
      <c r="D126" s="83">
        <f>D125*0.15</f>
        <v>312734.84962499992</v>
      </c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5"/>
      <c r="Z126" s="81" t="s">
        <v>113</v>
      </c>
      <c r="AA126" s="81"/>
      <c r="AB126" s="81"/>
      <c r="AC126" s="82"/>
    </row>
    <row r="127" spans="3:29" ht="57" customHeight="1">
      <c r="D127" s="83">
        <f>D125+D126</f>
        <v>2397633.8471249994</v>
      </c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5"/>
      <c r="Z127" s="81" t="s">
        <v>115</v>
      </c>
      <c r="AA127" s="81"/>
      <c r="AB127" s="81"/>
      <c r="AC127" s="82"/>
    </row>
    <row r="128" spans="3:29" ht="57" customHeight="1">
      <c r="R128" s="14"/>
      <c r="Z128" s="14"/>
      <c r="AB128" s="15"/>
    </row>
    <row r="131" spans="3:29" ht="57" customHeight="1" thickBot="1"/>
    <row r="132" spans="3:29" ht="57" customHeight="1" thickBot="1">
      <c r="D132" s="70" t="s">
        <v>101</v>
      </c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9"/>
      <c r="AC132" s="71"/>
    </row>
    <row r="133" spans="3:29" ht="57" customHeight="1" thickBot="1">
      <c r="D133" s="90" t="s">
        <v>11</v>
      </c>
      <c r="E133" s="91"/>
      <c r="F133" s="91"/>
      <c r="G133" s="91"/>
      <c r="H133" s="91"/>
      <c r="I133" s="91"/>
      <c r="J133" s="91"/>
      <c r="K133" s="92"/>
      <c r="L133" s="93" t="s">
        <v>10</v>
      </c>
      <c r="M133" s="94"/>
      <c r="N133" s="94"/>
      <c r="O133" s="94"/>
      <c r="P133" s="94"/>
      <c r="Q133" s="94"/>
      <c r="R133" s="95"/>
      <c r="S133" s="96"/>
      <c r="T133" s="97" t="s">
        <v>9</v>
      </c>
      <c r="U133" s="98"/>
      <c r="V133" s="98"/>
      <c r="W133" s="98"/>
      <c r="X133" s="98"/>
      <c r="Y133" s="98"/>
      <c r="Z133" s="98"/>
      <c r="AA133" s="98"/>
      <c r="AB133" s="59" t="s">
        <v>1</v>
      </c>
      <c r="AC133" s="67" t="s">
        <v>0</v>
      </c>
    </row>
    <row r="134" spans="3:29" ht="57" customHeight="1" thickBot="1">
      <c r="C134" s="68" t="s">
        <v>12</v>
      </c>
      <c r="D134" s="70" t="s">
        <v>7</v>
      </c>
      <c r="E134" s="71"/>
      <c r="F134" s="5" t="s">
        <v>8</v>
      </c>
      <c r="G134" s="70" t="s">
        <v>4</v>
      </c>
      <c r="H134" s="71"/>
      <c r="I134" s="3" t="s">
        <v>6</v>
      </c>
      <c r="J134" s="72" t="s">
        <v>2</v>
      </c>
      <c r="K134" s="72" t="s">
        <v>5</v>
      </c>
      <c r="L134" s="70" t="s">
        <v>7</v>
      </c>
      <c r="M134" s="71"/>
      <c r="N134" s="5" t="s">
        <v>8</v>
      </c>
      <c r="O134" s="70" t="s">
        <v>4</v>
      </c>
      <c r="P134" s="71"/>
      <c r="Q134" s="3" t="s">
        <v>6</v>
      </c>
      <c r="R134" s="59" t="s">
        <v>2</v>
      </c>
      <c r="S134" s="67" t="s">
        <v>5</v>
      </c>
      <c r="T134" s="70" t="s">
        <v>7</v>
      </c>
      <c r="U134" s="71"/>
      <c r="V134" s="5" t="s">
        <v>8</v>
      </c>
      <c r="W134" s="70" t="s">
        <v>4</v>
      </c>
      <c r="X134" s="71"/>
      <c r="Y134" s="3" t="s">
        <v>6</v>
      </c>
      <c r="Z134" s="63" t="s">
        <v>2</v>
      </c>
      <c r="AA134" s="65" t="s">
        <v>5</v>
      </c>
      <c r="AB134" s="59"/>
      <c r="AC134" s="74"/>
    </row>
    <row r="135" spans="3:29" ht="57" customHeight="1">
      <c r="C135" s="69"/>
      <c r="D135" s="65" t="s">
        <v>3</v>
      </c>
      <c r="E135" s="67"/>
      <c r="F135" s="4" t="s">
        <v>3</v>
      </c>
      <c r="G135" s="65" t="s">
        <v>3</v>
      </c>
      <c r="H135" s="67"/>
      <c r="I135" s="3" t="s">
        <v>3</v>
      </c>
      <c r="J135" s="73"/>
      <c r="K135" s="73"/>
      <c r="L135" s="65" t="s">
        <v>3</v>
      </c>
      <c r="M135" s="67"/>
      <c r="N135" s="4" t="s">
        <v>3</v>
      </c>
      <c r="O135" s="65" t="s">
        <v>3</v>
      </c>
      <c r="P135" s="67"/>
      <c r="Q135" s="3" t="s">
        <v>3</v>
      </c>
      <c r="R135" s="59"/>
      <c r="S135" s="74"/>
      <c r="T135" s="65" t="s">
        <v>3</v>
      </c>
      <c r="U135" s="67"/>
      <c r="V135" s="4" t="s">
        <v>3</v>
      </c>
      <c r="W135" s="65" t="s">
        <v>3</v>
      </c>
      <c r="X135" s="67"/>
      <c r="Y135" s="3" t="s">
        <v>3</v>
      </c>
      <c r="Z135" s="64"/>
      <c r="AA135" s="66"/>
      <c r="AB135" s="59"/>
      <c r="AC135" s="74"/>
    </row>
    <row r="136" spans="3:29" ht="57" customHeight="1">
      <c r="C136" s="6">
        <f>D136+L136+T136</f>
        <v>724.5</v>
      </c>
      <c r="D136" s="61"/>
      <c r="E136" s="61"/>
      <c r="F136" s="7"/>
      <c r="G136" s="62"/>
      <c r="H136" s="62"/>
      <c r="I136" s="8"/>
      <c r="J136" s="1"/>
      <c r="K136" s="10"/>
      <c r="L136" s="61"/>
      <c r="M136" s="61"/>
      <c r="N136" s="7"/>
      <c r="O136" s="62"/>
      <c r="P136" s="62"/>
      <c r="Q136" s="8"/>
      <c r="R136" s="11"/>
      <c r="S136" s="10"/>
      <c r="T136" s="61">
        <f>V136+W136</f>
        <v>724.5</v>
      </c>
      <c r="U136" s="61"/>
      <c r="V136" s="7">
        <f>W136*0.15</f>
        <v>94.5</v>
      </c>
      <c r="W136" s="62">
        <f>Y136*Z136</f>
        <v>630</v>
      </c>
      <c r="X136" s="62"/>
      <c r="Y136" s="16">
        <v>45</v>
      </c>
      <c r="Z136" s="11">
        <v>14</v>
      </c>
      <c r="AA136" s="11" t="s">
        <v>106</v>
      </c>
      <c r="AB136" s="11" t="s">
        <v>102</v>
      </c>
      <c r="AC136" s="10">
        <v>1</v>
      </c>
    </row>
    <row r="137" spans="3:29" ht="57" customHeight="1">
      <c r="C137" s="6">
        <f>D137+L137+T137</f>
        <v>4312.5</v>
      </c>
      <c r="D137" s="61"/>
      <c r="E137" s="61"/>
      <c r="F137" s="7"/>
      <c r="G137" s="62"/>
      <c r="H137" s="62"/>
      <c r="I137" s="8"/>
      <c r="J137" s="1"/>
      <c r="K137" s="10"/>
      <c r="L137" s="61"/>
      <c r="M137" s="61"/>
      <c r="N137" s="7"/>
      <c r="O137" s="62"/>
      <c r="P137" s="62"/>
      <c r="Q137" s="8"/>
      <c r="R137" s="11"/>
      <c r="S137" s="10"/>
      <c r="T137" s="61">
        <f t="shared" ref="T137:T138" si="67">V137+W137</f>
        <v>4312.5</v>
      </c>
      <c r="U137" s="61"/>
      <c r="V137" s="7">
        <f t="shared" ref="V137:V139" si="68">W137*0.15</f>
        <v>562.5</v>
      </c>
      <c r="W137" s="62">
        <f>Y137*Z137</f>
        <v>3750</v>
      </c>
      <c r="X137" s="62"/>
      <c r="Y137" s="16">
        <v>15</v>
      </c>
      <c r="Z137" s="11">
        <v>250</v>
      </c>
      <c r="AA137" s="11" t="s">
        <v>107</v>
      </c>
      <c r="AB137" s="11" t="s">
        <v>103</v>
      </c>
      <c r="AC137" s="10">
        <v>2</v>
      </c>
    </row>
    <row r="138" spans="3:29" ht="57" customHeight="1">
      <c r="C138" s="6">
        <f>D138+L138+T138</f>
        <v>402.5</v>
      </c>
      <c r="D138" s="61"/>
      <c r="E138" s="61"/>
      <c r="F138" s="7"/>
      <c r="G138" s="62"/>
      <c r="H138" s="62"/>
      <c r="I138" s="8"/>
      <c r="J138" s="1"/>
      <c r="K138" s="10"/>
      <c r="L138" s="61"/>
      <c r="M138" s="61"/>
      <c r="N138" s="7"/>
      <c r="O138" s="62"/>
      <c r="P138" s="62"/>
      <c r="Q138" s="8"/>
      <c r="R138" s="11"/>
      <c r="S138" s="10"/>
      <c r="T138" s="61">
        <f t="shared" si="67"/>
        <v>402.5</v>
      </c>
      <c r="U138" s="61"/>
      <c r="V138" s="7">
        <f t="shared" si="68"/>
        <v>52.5</v>
      </c>
      <c r="W138" s="62">
        <f>Y138*Z138</f>
        <v>350</v>
      </c>
      <c r="X138" s="62"/>
      <c r="Y138" s="16">
        <v>25</v>
      </c>
      <c r="Z138" s="11">
        <v>14</v>
      </c>
      <c r="AA138" s="11" t="s">
        <v>108</v>
      </c>
      <c r="AB138" s="11" t="s">
        <v>104</v>
      </c>
      <c r="AC138" s="10">
        <v>3</v>
      </c>
    </row>
    <row r="139" spans="3:29" ht="57" customHeight="1">
      <c r="C139" s="6">
        <f>T139</f>
        <v>276000</v>
      </c>
      <c r="D139" s="61"/>
      <c r="E139" s="61"/>
      <c r="F139" s="7"/>
      <c r="G139" s="62"/>
      <c r="H139" s="62"/>
      <c r="I139" s="8"/>
      <c r="J139" s="1"/>
      <c r="K139" s="10"/>
      <c r="L139" s="61"/>
      <c r="M139" s="61"/>
      <c r="N139" s="7"/>
      <c r="O139" s="62"/>
      <c r="P139" s="62"/>
      <c r="Q139" s="8"/>
      <c r="R139" s="11"/>
      <c r="S139" s="10"/>
      <c r="T139" s="61">
        <f>V139+W139</f>
        <v>276000</v>
      </c>
      <c r="U139" s="61"/>
      <c r="V139" s="7">
        <f t="shared" si="68"/>
        <v>36000</v>
      </c>
      <c r="W139" s="62">
        <f>Y139*Z139</f>
        <v>240000</v>
      </c>
      <c r="X139" s="62"/>
      <c r="Y139" s="16">
        <v>20</v>
      </c>
      <c r="Z139" s="11">
        <v>12000</v>
      </c>
      <c r="AA139" s="11" t="s">
        <v>108</v>
      </c>
      <c r="AB139" s="11" t="s">
        <v>105</v>
      </c>
      <c r="AC139" s="10">
        <v>4</v>
      </c>
    </row>
    <row r="140" spans="3:29" ht="57" customHeight="1">
      <c r="D140" s="58">
        <f>SUM(C136+C137+C138+C139)*0.85</f>
        <v>239223.57499999998</v>
      </c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105"/>
      <c r="Z140" s="76" t="s">
        <v>114</v>
      </c>
      <c r="AA140" s="76"/>
      <c r="AB140" s="76"/>
      <c r="AC140" s="77"/>
    </row>
    <row r="141" spans="3:29" ht="57" customHeight="1">
      <c r="D141" s="83">
        <f>D140*0.15</f>
        <v>35883.536249999997</v>
      </c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5"/>
      <c r="Z141" s="81" t="s">
        <v>113</v>
      </c>
      <c r="AA141" s="81"/>
      <c r="AB141" s="81"/>
      <c r="AC141" s="82"/>
    </row>
    <row r="142" spans="3:29" ht="57" customHeight="1">
      <c r="D142" s="83">
        <f>D140+D141</f>
        <v>275107.11124999996</v>
      </c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5"/>
      <c r="Z142" s="81" t="s">
        <v>115</v>
      </c>
      <c r="AA142" s="81"/>
      <c r="AB142" s="81"/>
      <c r="AC142" s="82"/>
    </row>
    <row r="145" spans="3:29" ht="57" customHeight="1" thickBot="1"/>
    <row r="146" spans="3:29" ht="57" customHeight="1" thickBot="1">
      <c r="D146" s="70" t="s">
        <v>109</v>
      </c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9"/>
      <c r="AC146" s="71"/>
    </row>
    <row r="147" spans="3:29" ht="57" customHeight="1" thickBot="1">
      <c r="D147" s="90" t="s">
        <v>11</v>
      </c>
      <c r="E147" s="91"/>
      <c r="F147" s="91"/>
      <c r="G147" s="91"/>
      <c r="H147" s="91"/>
      <c r="I147" s="91"/>
      <c r="J147" s="91"/>
      <c r="K147" s="92"/>
      <c r="L147" s="93" t="s">
        <v>10</v>
      </c>
      <c r="M147" s="94"/>
      <c r="N147" s="94"/>
      <c r="O147" s="94"/>
      <c r="P147" s="94"/>
      <c r="Q147" s="94"/>
      <c r="R147" s="95"/>
      <c r="S147" s="96"/>
      <c r="T147" s="97" t="s">
        <v>9</v>
      </c>
      <c r="U147" s="98"/>
      <c r="V147" s="98"/>
      <c r="W147" s="98"/>
      <c r="X147" s="98"/>
      <c r="Y147" s="98"/>
      <c r="Z147" s="98"/>
      <c r="AA147" s="98"/>
      <c r="AB147" s="59" t="s">
        <v>1</v>
      </c>
      <c r="AC147" s="67" t="s">
        <v>0</v>
      </c>
    </row>
    <row r="148" spans="3:29" ht="57" customHeight="1" thickBot="1">
      <c r="C148" s="68" t="s">
        <v>12</v>
      </c>
      <c r="D148" s="70" t="s">
        <v>7</v>
      </c>
      <c r="E148" s="71"/>
      <c r="F148" s="5" t="s">
        <v>8</v>
      </c>
      <c r="G148" s="70" t="s">
        <v>4</v>
      </c>
      <c r="H148" s="71"/>
      <c r="I148" s="3" t="s">
        <v>6</v>
      </c>
      <c r="J148" s="72" t="s">
        <v>2</v>
      </c>
      <c r="K148" s="72" t="s">
        <v>5</v>
      </c>
      <c r="L148" s="70" t="s">
        <v>7</v>
      </c>
      <c r="M148" s="71"/>
      <c r="N148" s="5" t="s">
        <v>8</v>
      </c>
      <c r="O148" s="70" t="s">
        <v>4</v>
      </c>
      <c r="P148" s="71"/>
      <c r="Q148" s="3" t="s">
        <v>6</v>
      </c>
      <c r="R148" s="59" t="s">
        <v>2</v>
      </c>
      <c r="S148" s="67" t="s">
        <v>5</v>
      </c>
      <c r="T148" s="70" t="s">
        <v>7</v>
      </c>
      <c r="U148" s="71"/>
      <c r="V148" s="5" t="s">
        <v>8</v>
      </c>
      <c r="W148" s="70" t="s">
        <v>4</v>
      </c>
      <c r="X148" s="71"/>
      <c r="Y148" s="3" t="s">
        <v>6</v>
      </c>
      <c r="Z148" s="63" t="s">
        <v>2</v>
      </c>
      <c r="AA148" s="65" t="s">
        <v>5</v>
      </c>
      <c r="AB148" s="59"/>
      <c r="AC148" s="74"/>
    </row>
    <row r="149" spans="3:29" ht="57" customHeight="1">
      <c r="C149" s="69"/>
      <c r="D149" s="65" t="s">
        <v>3</v>
      </c>
      <c r="E149" s="67"/>
      <c r="F149" s="4" t="s">
        <v>3</v>
      </c>
      <c r="G149" s="65" t="s">
        <v>3</v>
      </c>
      <c r="H149" s="67"/>
      <c r="I149" s="3" t="s">
        <v>3</v>
      </c>
      <c r="J149" s="73"/>
      <c r="K149" s="73"/>
      <c r="L149" s="65" t="s">
        <v>3</v>
      </c>
      <c r="M149" s="67"/>
      <c r="N149" s="4" t="s">
        <v>3</v>
      </c>
      <c r="O149" s="65" t="s">
        <v>3</v>
      </c>
      <c r="P149" s="67"/>
      <c r="Q149" s="3" t="s">
        <v>3</v>
      </c>
      <c r="R149" s="59"/>
      <c r="S149" s="74"/>
      <c r="T149" s="65" t="s">
        <v>3</v>
      </c>
      <c r="U149" s="67"/>
      <c r="V149" s="4" t="s">
        <v>3</v>
      </c>
      <c r="W149" s="65" t="s">
        <v>3</v>
      </c>
      <c r="X149" s="89"/>
      <c r="Y149" s="17" t="s">
        <v>3</v>
      </c>
      <c r="Z149" s="106"/>
      <c r="AA149" s="66"/>
      <c r="AB149" s="59"/>
      <c r="AC149" s="74"/>
    </row>
    <row r="150" spans="3:29" ht="57" customHeight="1">
      <c r="C150" s="6">
        <f>D150+L150+T150</f>
        <v>785910</v>
      </c>
      <c r="D150" s="61">
        <f>F150+G150</f>
        <v>304980</v>
      </c>
      <c r="E150" s="61"/>
      <c r="F150" s="7">
        <f>G150*0.15</f>
        <v>39780</v>
      </c>
      <c r="G150" s="62">
        <f>I150*J150</f>
        <v>265200</v>
      </c>
      <c r="H150" s="62"/>
      <c r="I150" s="18">
        <v>26</v>
      </c>
      <c r="J150" s="11">
        <v>10200</v>
      </c>
      <c r="K150" s="10" t="s">
        <v>97</v>
      </c>
      <c r="L150" s="61">
        <f>N150+O150</f>
        <v>246330</v>
      </c>
      <c r="M150" s="61"/>
      <c r="N150" s="7">
        <f>O150*0.15</f>
        <v>32130</v>
      </c>
      <c r="O150" s="62">
        <f>Q150*R150</f>
        <v>214200</v>
      </c>
      <c r="P150" s="62"/>
      <c r="Q150" s="18">
        <v>21</v>
      </c>
      <c r="R150" s="11">
        <v>10200</v>
      </c>
      <c r="S150" s="10" t="s">
        <v>97</v>
      </c>
      <c r="T150" s="61">
        <f>V150+W150</f>
        <v>234600</v>
      </c>
      <c r="U150" s="61"/>
      <c r="V150" s="7">
        <f>W150*0.15</f>
        <v>30600</v>
      </c>
      <c r="W150" s="62">
        <f>Z150*Y150</f>
        <v>204000</v>
      </c>
      <c r="X150" s="62"/>
      <c r="Y150" s="18">
        <v>20</v>
      </c>
      <c r="Z150" s="11">
        <v>10200</v>
      </c>
      <c r="AA150" s="11" t="s">
        <v>97</v>
      </c>
      <c r="AB150" s="19" t="s">
        <v>110</v>
      </c>
      <c r="AC150" s="10">
        <v>1</v>
      </c>
    </row>
    <row r="151" spans="3:29" ht="57" customHeight="1">
      <c r="C151" s="6">
        <f>D151+L151+T151</f>
        <v>4926048</v>
      </c>
      <c r="D151" s="61">
        <f t="shared" ref="D151:D152" si="69">F151+G151</f>
        <v>1785692.4</v>
      </c>
      <c r="E151" s="61"/>
      <c r="F151" s="7">
        <f t="shared" ref="F151:F152" si="70">G151*0.15</f>
        <v>232916.4</v>
      </c>
      <c r="G151" s="62">
        <f>I151*J151</f>
        <v>1552776</v>
      </c>
      <c r="H151" s="62"/>
      <c r="I151" s="18">
        <v>29</v>
      </c>
      <c r="J151" s="11">
        <v>53544</v>
      </c>
      <c r="K151" s="10" t="s">
        <v>97</v>
      </c>
      <c r="L151" s="61">
        <f t="shared" ref="L151:L152" si="71">N151+O151</f>
        <v>1600965.6</v>
      </c>
      <c r="M151" s="61"/>
      <c r="N151" s="7">
        <f t="shared" ref="N151:N152" si="72">O151*0.15</f>
        <v>208821.6</v>
      </c>
      <c r="O151" s="62">
        <f>Q151*R151</f>
        <v>1392144</v>
      </c>
      <c r="P151" s="62"/>
      <c r="Q151" s="18">
        <v>26</v>
      </c>
      <c r="R151" s="11">
        <v>53544</v>
      </c>
      <c r="S151" s="10" t="s">
        <v>97</v>
      </c>
      <c r="T151" s="61">
        <f t="shared" ref="T151:T152" si="73">V151+W151</f>
        <v>1539390</v>
      </c>
      <c r="U151" s="61"/>
      <c r="V151" s="7">
        <f t="shared" ref="V151:V152" si="74">W151*0.15</f>
        <v>200790</v>
      </c>
      <c r="W151" s="62">
        <f>Z151*Y151</f>
        <v>1338600</v>
      </c>
      <c r="X151" s="62"/>
      <c r="Y151" s="18">
        <v>25</v>
      </c>
      <c r="Z151" s="11">
        <v>53544</v>
      </c>
      <c r="AA151" s="11" t="s">
        <v>97</v>
      </c>
      <c r="AB151" s="19" t="s">
        <v>111</v>
      </c>
      <c r="AC151" s="10">
        <v>2</v>
      </c>
    </row>
    <row r="152" spans="3:29" ht="57" customHeight="1">
      <c r="C152" s="6">
        <f>D152+L152+T152</f>
        <v>1823256</v>
      </c>
      <c r="D152" s="61">
        <f t="shared" si="69"/>
        <v>658398</v>
      </c>
      <c r="E152" s="61"/>
      <c r="F152" s="7">
        <f t="shared" si="70"/>
        <v>85878</v>
      </c>
      <c r="G152" s="62">
        <f>I152*J152</f>
        <v>572520</v>
      </c>
      <c r="H152" s="62"/>
      <c r="I152" s="18">
        <v>65</v>
      </c>
      <c r="J152" s="11">
        <v>8808</v>
      </c>
      <c r="K152" s="10" t="s">
        <v>97</v>
      </c>
      <c r="L152" s="61">
        <f t="shared" si="71"/>
        <v>658398</v>
      </c>
      <c r="M152" s="61"/>
      <c r="N152" s="7">
        <f t="shared" si="72"/>
        <v>85878</v>
      </c>
      <c r="O152" s="62">
        <f>Q152*R152</f>
        <v>572520</v>
      </c>
      <c r="P152" s="62"/>
      <c r="Q152" s="18">
        <v>65</v>
      </c>
      <c r="R152" s="11">
        <v>8808</v>
      </c>
      <c r="S152" s="10" t="s">
        <v>97</v>
      </c>
      <c r="T152" s="61">
        <f t="shared" si="73"/>
        <v>506460</v>
      </c>
      <c r="U152" s="61"/>
      <c r="V152" s="7">
        <f t="shared" si="74"/>
        <v>66060</v>
      </c>
      <c r="W152" s="62">
        <f>Z152*Y152</f>
        <v>440400</v>
      </c>
      <c r="X152" s="62"/>
      <c r="Y152" s="18">
        <v>50</v>
      </c>
      <c r="Z152" s="11">
        <v>8808</v>
      </c>
      <c r="AA152" s="11" t="s">
        <v>97</v>
      </c>
      <c r="AB152" s="19" t="s">
        <v>112</v>
      </c>
      <c r="AC152" s="10">
        <v>3</v>
      </c>
    </row>
    <row r="153" spans="3:29" ht="57" customHeight="1">
      <c r="D153" s="58">
        <f>SUM(C150+C151+C152)*0.85</f>
        <v>6404931.8999999994</v>
      </c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105"/>
      <c r="Z153" s="76" t="s">
        <v>114</v>
      </c>
      <c r="AA153" s="76"/>
      <c r="AB153" s="76"/>
      <c r="AC153" s="77"/>
    </row>
    <row r="154" spans="3:29" ht="57" customHeight="1">
      <c r="D154" s="83">
        <f>D153*0.15</f>
        <v>960739.78499999992</v>
      </c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5"/>
      <c r="Z154" s="81" t="s">
        <v>113</v>
      </c>
      <c r="AA154" s="81"/>
      <c r="AB154" s="81"/>
      <c r="AC154" s="82"/>
    </row>
    <row r="155" spans="3:29" ht="57" customHeight="1">
      <c r="D155" s="83">
        <f>D153+D154</f>
        <v>7365671.6849999996</v>
      </c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5"/>
      <c r="Z155" s="81" t="s">
        <v>115</v>
      </c>
      <c r="AA155" s="81"/>
      <c r="AB155" s="81"/>
      <c r="AC155" s="82"/>
    </row>
    <row r="162" spans="4:29" ht="57" customHeight="1">
      <c r="D162" s="58">
        <f>D153+D140+D125+D55+D23</f>
        <v>17017595.348750003</v>
      </c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9" t="s">
        <v>116</v>
      </c>
      <c r="AA162" s="59"/>
      <c r="AB162" s="59"/>
      <c r="AC162" s="59"/>
    </row>
    <row r="163" spans="4:29" ht="57" customHeight="1">
      <c r="D163" s="60">
        <f>D154+D141+D126+D56+D24</f>
        <v>2552639.3023124998</v>
      </c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59" t="s">
        <v>113</v>
      </c>
      <c r="AA163" s="59"/>
      <c r="AB163" s="59"/>
      <c r="AC163" s="59"/>
    </row>
    <row r="164" spans="4:29" ht="57" customHeight="1">
      <c r="D164" s="60">
        <f>D162+D163</f>
        <v>19570234.651062503</v>
      </c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59" t="s">
        <v>115</v>
      </c>
      <c r="AA164" s="59"/>
      <c r="AB164" s="59"/>
      <c r="AC164" s="59"/>
    </row>
  </sheetData>
  <mergeCells count="743">
    <mergeCell ref="O121:P121"/>
    <mergeCell ref="O122:P122"/>
    <mergeCell ref="O123:P123"/>
    <mergeCell ref="O124:P124"/>
    <mergeCell ref="D121:E121"/>
    <mergeCell ref="G121:H121"/>
    <mergeCell ref="D151:E151"/>
    <mergeCell ref="G151:H151"/>
    <mergeCell ref="L151:M151"/>
    <mergeCell ref="O151:P151"/>
    <mergeCell ref="D124:E124"/>
    <mergeCell ref="G124:H124"/>
    <mergeCell ref="L124:M124"/>
    <mergeCell ref="L121:M121"/>
    <mergeCell ref="D122:E122"/>
    <mergeCell ref="G122:H122"/>
    <mergeCell ref="L122:M122"/>
    <mergeCell ref="D123:E123"/>
    <mergeCell ref="G123:H123"/>
    <mergeCell ref="L123:M123"/>
    <mergeCell ref="D138:E138"/>
    <mergeCell ref="G138:H138"/>
    <mergeCell ref="Z155:AC155"/>
    <mergeCell ref="T121:U121"/>
    <mergeCell ref="T122:U122"/>
    <mergeCell ref="T123:U123"/>
    <mergeCell ref="T124:U124"/>
    <mergeCell ref="W121:X121"/>
    <mergeCell ref="W122:X122"/>
    <mergeCell ref="W123:X123"/>
    <mergeCell ref="W124:X124"/>
    <mergeCell ref="T151:U151"/>
    <mergeCell ref="D146:AC146"/>
    <mergeCell ref="D147:K147"/>
    <mergeCell ref="L147:S147"/>
    <mergeCell ref="T147:AA147"/>
    <mergeCell ref="AB147:AB149"/>
    <mergeCell ref="AC147:AC149"/>
    <mergeCell ref="Z148:Z149"/>
    <mergeCell ref="AA148:AA149"/>
    <mergeCell ref="W139:X139"/>
    <mergeCell ref="L138:M138"/>
    <mergeCell ref="O138:P138"/>
    <mergeCell ref="T139:U139"/>
    <mergeCell ref="T134:U134"/>
    <mergeCell ref="W134:X134"/>
    <mergeCell ref="D155:Y155"/>
    <mergeCell ref="D152:E152"/>
    <mergeCell ref="G152:H152"/>
    <mergeCell ref="D150:E150"/>
    <mergeCell ref="G150:H150"/>
    <mergeCell ref="L150:M150"/>
    <mergeCell ref="O150:P150"/>
    <mergeCell ref="T150:U150"/>
    <mergeCell ref="S148:S149"/>
    <mergeCell ref="T148:U148"/>
    <mergeCell ref="W148:X148"/>
    <mergeCell ref="W149:X149"/>
    <mergeCell ref="C148:C149"/>
    <mergeCell ref="D148:E148"/>
    <mergeCell ref="G148:H148"/>
    <mergeCell ref="J148:J149"/>
    <mergeCell ref="K148:K149"/>
    <mergeCell ref="L148:M148"/>
    <mergeCell ref="O148:P148"/>
    <mergeCell ref="R148:R149"/>
    <mergeCell ref="S134:S135"/>
    <mergeCell ref="L136:M136"/>
    <mergeCell ref="O136:P136"/>
    <mergeCell ref="L149:M149"/>
    <mergeCell ref="O149:P149"/>
    <mergeCell ref="D149:E149"/>
    <mergeCell ref="G149:H149"/>
    <mergeCell ref="T136:U136"/>
    <mergeCell ref="W136:X136"/>
    <mergeCell ref="D154:Y154"/>
    <mergeCell ref="Z154:AC154"/>
    <mergeCell ref="D153:Y153"/>
    <mergeCell ref="Z153:AC153"/>
    <mergeCell ref="W152:X152"/>
    <mergeCell ref="W150:X150"/>
    <mergeCell ref="W151:X151"/>
    <mergeCell ref="D140:Y140"/>
    <mergeCell ref="Z140:AC140"/>
    <mergeCell ref="D141:Y141"/>
    <mergeCell ref="Z141:AC141"/>
    <mergeCell ref="D142:Y142"/>
    <mergeCell ref="Z142:AC142"/>
    <mergeCell ref="D139:E139"/>
    <mergeCell ref="G139:H139"/>
    <mergeCell ref="L139:M139"/>
    <mergeCell ref="O139:P139"/>
    <mergeCell ref="L152:M152"/>
    <mergeCell ref="O152:P152"/>
    <mergeCell ref="T152:U152"/>
    <mergeCell ref="T149:U149"/>
    <mergeCell ref="G12:H12"/>
    <mergeCell ref="L12:M12"/>
    <mergeCell ref="O12:P12"/>
    <mergeCell ref="T16:U16"/>
    <mergeCell ref="W16:X16"/>
    <mergeCell ref="D16:E16"/>
    <mergeCell ref="G16:H16"/>
    <mergeCell ref="T138:U138"/>
    <mergeCell ref="W138:X138"/>
    <mergeCell ref="D137:E137"/>
    <mergeCell ref="G137:H137"/>
    <mergeCell ref="L137:M137"/>
    <mergeCell ref="O137:P137"/>
    <mergeCell ref="T137:U137"/>
    <mergeCell ref="W137:X137"/>
    <mergeCell ref="D126:Y126"/>
    <mergeCell ref="D127:Y127"/>
    <mergeCell ref="D132:AC132"/>
    <mergeCell ref="D133:K133"/>
    <mergeCell ref="L133:S133"/>
    <mergeCell ref="T133:AA133"/>
    <mergeCell ref="AB133:AB135"/>
    <mergeCell ref="AC133:AC135"/>
    <mergeCell ref="R134:R135"/>
    <mergeCell ref="D25:Y25"/>
    <mergeCell ref="Z25:AC25"/>
    <mergeCell ref="D13:E13"/>
    <mergeCell ref="G13:H13"/>
    <mergeCell ref="L13:M13"/>
    <mergeCell ref="C134:C135"/>
    <mergeCell ref="D134:E134"/>
    <mergeCell ref="G134:H134"/>
    <mergeCell ref="J134:J135"/>
    <mergeCell ref="K134:K135"/>
    <mergeCell ref="L134:M134"/>
    <mergeCell ref="O134:P134"/>
    <mergeCell ref="D135:E135"/>
    <mergeCell ref="G135:H135"/>
    <mergeCell ref="L135:M135"/>
    <mergeCell ref="O135:P135"/>
    <mergeCell ref="D125:Y125"/>
    <mergeCell ref="Z125:AC125"/>
    <mergeCell ref="L17:M17"/>
    <mergeCell ref="O17:P17"/>
    <mergeCell ref="T17:U17"/>
    <mergeCell ref="W17:X17"/>
    <mergeCell ref="Z126:AC126"/>
    <mergeCell ref="Z127:AC127"/>
    <mergeCell ref="C5:C6"/>
    <mergeCell ref="D7:E7"/>
    <mergeCell ref="G7:H7"/>
    <mergeCell ref="D8:E8"/>
    <mergeCell ref="G8:H8"/>
    <mergeCell ref="D5:E5"/>
    <mergeCell ref="G5:H5"/>
    <mergeCell ref="K5:K6"/>
    <mergeCell ref="D6:E6"/>
    <mergeCell ref="G6:H6"/>
    <mergeCell ref="Z5:Z6"/>
    <mergeCell ref="T5:U5"/>
    <mergeCell ref="T7:U7"/>
    <mergeCell ref="T8:U8"/>
    <mergeCell ref="D14:E14"/>
    <mergeCell ref="G14:H14"/>
    <mergeCell ref="D15:E15"/>
    <mergeCell ref="G15:H15"/>
    <mergeCell ref="D19:E19"/>
    <mergeCell ref="G19:H19"/>
    <mergeCell ref="D17:E17"/>
    <mergeCell ref="G17:H17"/>
    <mergeCell ref="L5:M5"/>
    <mergeCell ref="R5:R6"/>
    <mergeCell ref="S5:S6"/>
    <mergeCell ref="T9:U9"/>
    <mergeCell ref="T10:U10"/>
    <mergeCell ref="T11:U11"/>
    <mergeCell ref="W7:X7"/>
    <mergeCell ref="W8:X8"/>
    <mergeCell ref="W9:X9"/>
    <mergeCell ref="W10:X10"/>
    <mergeCell ref="W11:X11"/>
    <mergeCell ref="D12:E12"/>
    <mergeCell ref="D3:AC3"/>
    <mergeCell ref="D9:E9"/>
    <mergeCell ref="G9:H9"/>
    <mergeCell ref="D10:E10"/>
    <mergeCell ref="G10:H10"/>
    <mergeCell ref="D11:E11"/>
    <mergeCell ref="J5:J6"/>
    <mergeCell ref="L11:M11"/>
    <mergeCell ref="L9:M9"/>
    <mergeCell ref="L10:M10"/>
    <mergeCell ref="O9:P9"/>
    <mergeCell ref="O10:P10"/>
    <mergeCell ref="O11:P11"/>
    <mergeCell ref="G11:H11"/>
    <mergeCell ref="L7:M7"/>
    <mergeCell ref="L8:M8"/>
    <mergeCell ref="O5:P5"/>
    <mergeCell ref="O6:P6"/>
    <mergeCell ref="O7:P7"/>
    <mergeCell ref="O8:P8"/>
    <mergeCell ref="T4:AA4"/>
    <mergeCell ref="D4:K4"/>
    <mergeCell ref="W5:X5"/>
    <mergeCell ref="AA5:AA6"/>
    <mergeCell ref="AB4:AB6"/>
    <mergeCell ref="AC4:AC6"/>
    <mergeCell ref="L6:M6"/>
    <mergeCell ref="L4:S4"/>
    <mergeCell ref="T6:U6"/>
    <mergeCell ref="W6:X6"/>
    <mergeCell ref="Z23:AC23"/>
    <mergeCell ref="Z24:AC24"/>
    <mergeCell ref="T13:U13"/>
    <mergeCell ref="W13:X13"/>
    <mergeCell ref="W14:X14"/>
    <mergeCell ref="L15:M15"/>
    <mergeCell ref="O15:P15"/>
    <mergeCell ref="T15:U15"/>
    <mergeCell ref="W15:X15"/>
    <mergeCell ref="L14:M14"/>
    <mergeCell ref="O14:P14"/>
    <mergeCell ref="T14:U14"/>
    <mergeCell ref="T18:U18"/>
    <mergeCell ref="W18:X18"/>
    <mergeCell ref="L19:M19"/>
    <mergeCell ref="O19:P19"/>
    <mergeCell ref="T12:U12"/>
    <mergeCell ref="W12:X12"/>
    <mergeCell ref="O13:P13"/>
    <mergeCell ref="L21:M21"/>
    <mergeCell ref="O21:P21"/>
    <mergeCell ref="T21:U21"/>
    <mergeCell ref="W21:X21"/>
    <mergeCell ref="D20:E20"/>
    <mergeCell ref="G20:H20"/>
    <mergeCell ref="L20:M20"/>
    <mergeCell ref="O20:P20"/>
    <mergeCell ref="T19:U19"/>
    <mergeCell ref="W19:X19"/>
    <mergeCell ref="D18:E18"/>
    <mergeCell ref="G18:H18"/>
    <mergeCell ref="L18:M18"/>
    <mergeCell ref="O18:P18"/>
    <mergeCell ref="T20:U20"/>
    <mergeCell ref="W20:X20"/>
    <mergeCell ref="D21:E21"/>
    <mergeCell ref="G21:H21"/>
    <mergeCell ref="D23:Y23"/>
    <mergeCell ref="D24:Y24"/>
    <mergeCell ref="T22:U22"/>
    <mergeCell ref="W22:X22"/>
    <mergeCell ref="D22:E22"/>
    <mergeCell ref="G22:H22"/>
    <mergeCell ref="L22:M22"/>
    <mergeCell ref="O22:P22"/>
    <mergeCell ref="L16:M16"/>
    <mergeCell ref="O16:P16"/>
    <mergeCell ref="C39:C40"/>
    <mergeCell ref="D39:E39"/>
    <mergeCell ref="G39:H39"/>
    <mergeCell ref="J39:J40"/>
    <mergeCell ref="D37:AC37"/>
    <mergeCell ref="D38:K38"/>
    <mergeCell ref="L38:S38"/>
    <mergeCell ref="T38:AA38"/>
    <mergeCell ref="AB38:AB40"/>
    <mergeCell ref="AC38:AC40"/>
    <mergeCell ref="K39:K40"/>
    <mergeCell ref="L39:M39"/>
    <mergeCell ref="O39:P39"/>
    <mergeCell ref="R39:R40"/>
    <mergeCell ref="S39:S40"/>
    <mergeCell ref="T39:U39"/>
    <mergeCell ref="W39:X39"/>
    <mergeCell ref="Z39:Z40"/>
    <mergeCell ref="AA39:AA40"/>
    <mergeCell ref="D40:E40"/>
    <mergeCell ref="G40:H40"/>
    <mergeCell ref="L40:M40"/>
    <mergeCell ref="O40:P40"/>
    <mergeCell ref="T40:U40"/>
    <mergeCell ref="W40:X40"/>
    <mergeCell ref="T41:U41"/>
    <mergeCell ref="W41:X41"/>
    <mergeCell ref="D42:E42"/>
    <mergeCell ref="G42:H42"/>
    <mergeCell ref="L42:M42"/>
    <mergeCell ref="O42:P42"/>
    <mergeCell ref="T42:U42"/>
    <mergeCell ref="W42:X42"/>
    <mergeCell ref="D41:E41"/>
    <mergeCell ref="G41:H41"/>
    <mergeCell ref="L41:M41"/>
    <mergeCell ref="O41:P41"/>
    <mergeCell ref="T43:U43"/>
    <mergeCell ref="W43:X43"/>
    <mergeCell ref="D44:E44"/>
    <mergeCell ref="G44:H44"/>
    <mergeCell ref="L44:M44"/>
    <mergeCell ref="O44:P44"/>
    <mergeCell ref="T44:U44"/>
    <mergeCell ref="W44:X44"/>
    <mergeCell ref="D43:E43"/>
    <mergeCell ref="G43:H43"/>
    <mergeCell ref="L43:M43"/>
    <mergeCell ref="O43:P43"/>
    <mergeCell ref="T45:U45"/>
    <mergeCell ref="W45:X45"/>
    <mergeCell ref="D46:E46"/>
    <mergeCell ref="G46:H46"/>
    <mergeCell ref="L46:M46"/>
    <mergeCell ref="O46:P46"/>
    <mergeCell ref="T46:U46"/>
    <mergeCell ref="W46:X46"/>
    <mergeCell ref="D45:E45"/>
    <mergeCell ref="G45:H45"/>
    <mergeCell ref="L45:M45"/>
    <mergeCell ref="O45:P45"/>
    <mergeCell ref="T47:U47"/>
    <mergeCell ref="W47:X47"/>
    <mergeCell ref="D48:E48"/>
    <mergeCell ref="G48:H48"/>
    <mergeCell ref="L48:M48"/>
    <mergeCell ref="O48:P48"/>
    <mergeCell ref="T48:U48"/>
    <mergeCell ref="W48:X48"/>
    <mergeCell ref="D47:E47"/>
    <mergeCell ref="G47:H47"/>
    <mergeCell ref="L47:M47"/>
    <mergeCell ref="O47:P47"/>
    <mergeCell ref="T49:U49"/>
    <mergeCell ref="W49:X49"/>
    <mergeCell ref="D50:E50"/>
    <mergeCell ref="G50:H50"/>
    <mergeCell ref="L50:M50"/>
    <mergeCell ref="O50:P50"/>
    <mergeCell ref="T50:U50"/>
    <mergeCell ref="W50:X50"/>
    <mergeCell ref="D49:E49"/>
    <mergeCell ref="G49:H49"/>
    <mergeCell ref="L49:M49"/>
    <mergeCell ref="O49:P49"/>
    <mergeCell ref="T51:U51"/>
    <mergeCell ref="W51:X51"/>
    <mergeCell ref="D52:E52"/>
    <mergeCell ref="G52:H52"/>
    <mergeCell ref="L52:M52"/>
    <mergeCell ref="O52:P52"/>
    <mergeCell ref="T52:U52"/>
    <mergeCell ref="W52:X52"/>
    <mergeCell ref="D51:E51"/>
    <mergeCell ref="G51:H51"/>
    <mergeCell ref="L51:M51"/>
    <mergeCell ref="O51:P51"/>
    <mergeCell ref="D55:Y55"/>
    <mergeCell ref="Z55:AC55"/>
    <mergeCell ref="D56:Y56"/>
    <mergeCell ref="Z56:AC56"/>
    <mergeCell ref="D57:Y57"/>
    <mergeCell ref="Z57:AC57"/>
    <mergeCell ref="O64:P64"/>
    <mergeCell ref="W64:X64"/>
    <mergeCell ref="T53:U53"/>
    <mergeCell ref="W53:X53"/>
    <mergeCell ref="D54:E54"/>
    <mergeCell ref="G54:H54"/>
    <mergeCell ref="L54:M54"/>
    <mergeCell ref="O54:P54"/>
    <mergeCell ref="T54:U54"/>
    <mergeCell ref="W54:X54"/>
    <mergeCell ref="D53:E53"/>
    <mergeCell ref="G53:H53"/>
    <mergeCell ref="L53:M53"/>
    <mergeCell ref="O53:P53"/>
    <mergeCell ref="D61:AC61"/>
    <mergeCell ref="D62:K62"/>
    <mergeCell ref="L62:S62"/>
    <mergeCell ref="T62:AA62"/>
    <mergeCell ref="AB62:AB64"/>
    <mergeCell ref="AC62:AC64"/>
    <mergeCell ref="R63:R64"/>
    <mergeCell ref="S63:S64"/>
    <mergeCell ref="T63:U63"/>
    <mergeCell ref="W63:X63"/>
    <mergeCell ref="Z63:Z64"/>
    <mergeCell ref="AA63:AA64"/>
    <mergeCell ref="T64:U64"/>
    <mergeCell ref="C63:C64"/>
    <mergeCell ref="D63:E63"/>
    <mergeCell ref="G63:H63"/>
    <mergeCell ref="J63:J64"/>
    <mergeCell ref="K63:K64"/>
    <mergeCell ref="L63:M63"/>
    <mergeCell ref="O63:P63"/>
    <mergeCell ref="D64:E64"/>
    <mergeCell ref="G64:H64"/>
    <mergeCell ref="L64:M64"/>
    <mergeCell ref="W66:X66"/>
    <mergeCell ref="O65:P65"/>
    <mergeCell ref="W65:X65"/>
    <mergeCell ref="D67:E67"/>
    <mergeCell ref="G67:H67"/>
    <mergeCell ref="L67:M67"/>
    <mergeCell ref="T67:U67"/>
    <mergeCell ref="D68:E68"/>
    <mergeCell ref="G68:H68"/>
    <mergeCell ref="L68:M68"/>
    <mergeCell ref="T68:U68"/>
    <mergeCell ref="O68:P68"/>
    <mergeCell ref="W68:X68"/>
    <mergeCell ref="O67:P67"/>
    <mergeCell ref="W67:X67"/>
    <mergeCell ref="D66:E66"/>
    <mergeCell ref="G66:H66"/>
    <mergeCell ref="L66:M66"/>
    <mergeCell ref="T66:U66"/>
    <mergeCell ref="L65:M65"/>
    <mergeCell ref="T65:U65"/>
    <mergeCell ref="D65:E65"/>
    <mergeCell ref="G65:H65"/>
    <mergeCell ref="O66:P66"/>
    <mergeCell ref="W70:X70"/>
    <mergeCell ref="O69:P69"/>
    <mergeCell ref="W69:X69"/>
    <mergeCell ref="D71:E71"/>
    <mergeCell ref="G71:H71"/>
    <mergeCell ref="L71:M71"/>
    <mergeCell ref="T71:U71"/>
    <mergeCell ref="D72:E72"/>
    <mergeCell ref="G72:H72"/>
    <mergeCell ref="L72:M72"/>
    <mergeCell ref="T72:U72"/>
    <mergeCell ref="O72:P72"/>
    <mergeCell ref="W72:X72"/>
    <mergeCell ref="O71:P71"/>
    <mergeCell ref="W71:X71"/>
    <mergeCell ref="D69:E69"/>
    <mergeCell ref="G69:H69"/>
    <mergeCell ref="L69:M69"/>
    <mergeCell ref="T69:U69"/>
    <mergeCell ref="D70:E70"/>
    <mergeCell ref="G70:H70"/>
    <mergeCell ref="L70:M70"/>
    <mergeCell ref="T70:U70"/>
    <mergeCell ref="O70:P70"/>
    <mergeCell ref="O73:P73"/>
    <mergeCell ref="W73:X73"/>
    <mergeCell ref="D75:E75"/>
    <mergeCell ref="G75:H75"/>
    <mergeCell ref="L75:M75"/>
    <mergeCell ref="T75:U75"/>
    <mergeCell ref="D76:E76"/>
    <mergeCell ref="G76:H76"/>
    <mergeCell ref="L76:M76"/>
    <mergeCell ref="T76:U76"/>
    <mergeCell ref="O75:P75"/>
    <mergeCell ref="W75:X75"/>
    <mergeCell ref="D73:E73"/>
    <mergeCell ref="G73:H73"/>
    <mergeCell ref="L73:M73"/>
    <mergeCell ref="T73:U73"/>
    <mergeCell ref="D74:E74"/>
    <mergeCell ref="G74:H74"/>
    <mergeCell ref="L74:M74"/>
    <mergeCell ref="T74:U74"/>
    <mergeCell ref="O74:P74"/>
    <mergeCell ref="D77:E77"/>
    <mergeCell ref="G77:H77"/>
    <mergeCell ref="L77:M77"/>
    <mergeCell ref="T77:U77"/>
    <mergeCell ref="O77:P77"/>
    <mergeCell ref="W77:X77"/>
    <mergeCell ref="O76:P76"/>
    <mergeCell ref="W76:X76"/>
    <mergeCell ref="W74:X74"/>
    <mergeCell ref="D78:E78"/>
    <mergeCell ref="G78:H78"/>
    <mergeCell ref="L78:M78"/>
    <mergeCell ref="T78:U78"/>
    <mergeCell ref="D81:E81"/>
    <mergeCell ref="G81:H81"/>
    <mergeCell ref="L81:M81"/>
    <mergeCell ref="O81:P81"/>
    <mergeCell ref="T81:U81"/>
    <mergeCell ref="O78:P78"/>
    <mergeCell ref="D80:E80"/>
    <mergeCell ref="G80:H80"/>
    <mergeCell ref="L80:M80"/>
    <mergeCell ref="O80:P80"/>
    <mergeCell ref="T80:U80"/>
    <mergeCell ref="W80:X80"/>
    <mergeCell ref="O79:P79"/>
    <mergeCell ref="W79:X79"/>
    <mergeCell ref="T79:U79"/>
    <mergeCell ref="L79:M79"/>
    <mergeCell ref="G79:H79"/>
    <mergeCell ref="D79:E79"/>
    <mergeCell ref="D82:E82"/>
    <mergeCell ref="G82:H82"/>
    <mergeCell ref="L82:M82"/>
    <mergeCell ref="O82:P82"/>
    <mergeCell ref="T82:U82"/>
    <mergeCell ref="W82:X82"/>
    <mergeCell ref="T85:U85"/>
    <mergeCell ref="W85:X85"/>
    <mergeCell ref="L83:M83"/>
    <mergeCell ref="O83:P83"/>
    <mergeCell ref="T83:U83"/>
    <mergeCell ref="W83:X83"/>
    <mergeCell ref="D83:E83"/>
    <mergeCell ref="G83:H83"/>
    <mergeCell ref="W81:X81"/>
    <mergeCell ref="D84:E84"/>
    <mergeCell ref="G84:H84"/>
    <mergeCell ref="L84:M84"/>
    <mergeCell ref="O84:P84"/>
    <mergeCell ref="T84:U84"/>
    <mergeCell ref="W84:X84"/>
    <mergeCell ref="W78:X78"/>
    <mergeCell ref="D91:E91"/>
    <mergeCell ref="G91:H91"/>
    <mergeCell ref="L91:M91"/>
    <mergeCell ref="O91:P91"/>
    <mergeCell ref="T91:U91"/>
    <mergeCell ref="W91:X91"/>
    <mergeCell ref="D86:E86"/>
    <mergeCell ref="G86:H86"/>
    <mergeCell ref="L86:M86"/>
    <mergeCell ref="O86:P86"/>
    <mergeCell ref="T86:U86"/>
    <mergeCell ref="W86:X86"/>
    <mergeCell ref="D87:E87"/>
    <mergeCell ref="G87:H87"/>
    <mergeCell ref="L87:M87"/>
    <mergeCell ref="O87:P87"/>
    <mergeCell ref="T87:U87"/>
    <mergeCell ref="W87:X87"/>
    <mergeCell ref="D88:E88"/>
    <mergeCell ref="D85:E85"/>
    <mergeCell ref="G85:H85"/>
    <mergeCell ref="L85:M85"/>
    <mergeCell ref="O85:P85"/>
    <mergeCell ref="G88:H88"/>
    <mergeCell ref="L88:M88"/>
    <mergeCell ref="O88:P88"/>
    <mergeCell ref="T88:U88"/>
    <mergeCell ref="W88:X88"/>
    <mergeCell ref="D89:E89"/>
    <mergeCell ref="G89:H89"/>
    <mergeCell ref="D90:E90"/>
    <mergeCell ref="G90:H90"/>
    <mergeCell ref="L90:M90"/>
    <mergeCell ref="O90:P90"/>
    <mergeCell ref="T90:U90"/>
    <mergeCell ref="W90:X90"/>
    <mergeCell ref="L89:M89"/>
    <mergeCell ref="O89:P89"/>
    <mergeCell ref="T89:U89"/>
    <mergeCell ref="W89:X89"/>
    <mergeCell ref="D92:E92"/>
    <mergeCell ref="G92:H92"/>
    <mergeCell ref="L92:M92"/>
    <mergeCell ref="O92:P92"/>
    <mergeCell ref="T92:U92"/>
    <mergeCell ref="W92:X92"/>
    <mergeCell ref="D97:E97"/>
    <mergeCell ref="G97:H97"/>
    <mergeCell ref="L97:M97"/>
    <mergeCell ref="O97:P97"/>
    <mergeCell ref="T97:U97"/>
    <mergeCell ref="W97:X97"/>
    <mergeCell ref="D94:E94"/>
    <mergeCell ref="G94:H94"/>
    <mergeCell ref="L94:M94"/>
    <mergeCell ref="O94:P94"/>
    <mergeCell ref="T94:U94"/>
    <mergeCell ref="W94:X94"/>
    <mergeCell ref="D93:E93"/>
    <mergeCell ref="G93:H93"/>
    <mergeCell ref="L93:M93"/>
    <mergeCell ref="O93:P93"/>
    <mergeCell ref="T93:U93"/>
    <mergeCell ref="W93:X93"/>
    <mergeCell ref="D98:E98"/>
    <mergeCell ref="G98:H98"/>
    <mergeCell ref="L98:M98"/>
    <mergeCell ref="O98:P98"/>
    <mergeCell ref="T98:U98"/>
    <mergeCell ref="W98:X98"/>
    <mergeCell ref="D95:E95"/>
    <mergeCell ref="G95:H95"/>
    <mergeCell ref="L95:M95"/>
    <mergeCell ref="O95:P95"/>
    <mergeCell ref="T95:U95"/>
    <mergeCell ref="W95:X95"/>
    <mergeCell ref="D96:E96"/>
    <mergeCell ref="G96:H96"/>
    <mergeCell ref="L96:M96"/>
    <mergeCell ref="O96:P96"/>
    <mergeCell ref="T96:U96"/>
    <mergeCell ref="W96:X96"/>
    <mergeCell ref="D101:E101"/>
    <mergeCell ref="G101:H101"/>
    <mergeCell ref="L101:M101"/>
    <mergeCell ref="O101:P101"/>
    <mergeCell ref="T101:U101"/>
    <mergeCell ref="W101:X101"/>
    <mergeCell ref="D102:E102"/>
    <mergeCell ref="G102:H102"/>
    <mergeCell ref="L102:M102"/>
    <mergeCell ref="O102:P102"/>
    <mergeCell ref="T102:U102"/>
    <mergeCell ref="W102:X102"/>
    <mergeCell ref="D99:E99"/>
    <mergeCell ref="G99:H99"/>
    <mergeCell ref="L99:M99"/>
    <mergeCell ref="O99:P99"/>
    <mergeCell ref="T99:U99"/>
    <mergeCell ref="W99:X99"/>
    <mergeCell ref="D100:E100"/>
    <mergeCell ref="G100:H100"/>
    <mergeCell ref="L100:M100"/>
    <mergeCell ref="O100:P100"/>
    <mergeCell ref="T100:U100"/>
    <mergeCell ref="W100:X100"/>
    <mergeCell ref="D105:E105"/>
    <mergeCell ref="G105:H105"/>
    <mergeCell ref="L105:M105"/>
    <mergeCell ref="O105:P105"/>
    <mergeCell ref="T105:U105"/>
    <mergeCell ref="W105:X105"/>
    <mergeCell ref="D106:E106"/>
    <mergeCell ref="G106:H106"/>
    <mergeCell ref="L106:M106"/>
    <mergeCell ref="O106:P106"/>
    <mergeCell ref="T106:U106"/>
    <mergeCell ref="W106:X106"/>
    <mergeCell ref="D103:E103"/>
    <mergeCell ref="G103:H103"/>
    <mergeCell ref="L103:M103"/>
    <mergeCell ref="O103:P103"/>
    <mergeCell ref="T103:U103"/>
    <mergeCell ref="W103:X103"/>
    <mergeCell ref="D104:E104"/>
    <mergeCell ref="G104:H104"/>
    <mergeCell ref="L104:M104"/>
    <mergeCell ref="O104:P104"/>
    <mergeCell ref="T104:U104"/>
    <mergeCell ref="W104:X104"/>
    <mergeCell ref="D109:E109"/>
    <mergeCell ref="G109:H109"/>
    <mergeCell ref="L109:M109"/>
    <mergeCell ref="O109:P109"/>
    <mergeCell ref="T109:U109"/>
    <mergeCell ref="W109:X109"/>
    <mergeCell ref="D110:E110"/>
    <mergeCell ref="G110:H110"/>
    <mergeCell ref="L110:M110"/>
    <mergeCell ref="O110:P110"/>
    <mergeCell ref="T110:U110"/>
    <mergeCell ref="W110:X110"/>
    <mergeCell ref="D107:E107"/>
    <mergeCell ref="G107:H107"/>
    <mergeCell ref="L107:M107"/>
    <mergeCell ref="O107:P107"/>
    <mergeCell ref="T107:U107"/>
    <mergeCell ref="W107:X107"/>
    <mergeCell ref="D108:E108"/>
    <mergeCell ref="G108:H108"/>
    <mergeCell ref="L108:M108"/>
    <mergeCell ref="O108:P108"/>
    <mergeCell ref="T108:U108"/>
    <mergeCell ref="W108:X108"/>
    <mergeCell ref="D111:E111"/>
    <mergeCell ref="G111:H111"/>
    <mergeCell ref="L111:M111"/>
    <mergeCell ref="O111:P111"/>
    <mergeCell ref="T111:U111"/>
    <mergeCell ref="W111:X111"/>
    <mergeCell ref="D112:E112"/>
    <mergeCell ref="G112:H112"/>
    <mergeCell ref="L112:M112"/>
    <mergeCell ref="O112:P112"/>
    <mergeCell ref="T112:U112"/>
    <mergeCell ref="W112:X112"/>
    <mergeCell ref="D113:E113"/>
    <mergeCell ref="G113:H113"/>
    <mergeCell ref="L113:M113"/>
    <mergeCell ref="O113:P113"/>
    <mergeCell ref="T113:U113"/>
    <mergeCell ref="W113:X113"/>
    <mergeCell ref="D114:E114"/>
    <mergeCell ref="G114:H114"/>
    <mergeCell ref="L114:M114"/>
    <mergeCell ref="O114:P114"/>
    <mergeCell ref="T114:U114"/>
    <mergeCell ref="W114:X114"/>
    <mergeCell ref="D115:E115"/>
    <mergeCell ref="G115:H115"/>
    <mergeCell ref="L115:M115"/>
    <mergeCell ref="O115:P115"/>
    <mergeCell ref="T115:U115"/>
    <mergeCell ref="W115:X115"/>
    <mergeCell ref="D116:E116"/>
    <mergeCell ref="G116:H116"/>
    <mergeCell ref="L116:M116"/>
    <mergeCell ref="O116:P116"/>
    <mergeCell ref="T116:U116"/>
    <mergeCell ref="W116:X116"/>
    <mergeCell ref="D117:E117"/>
    <mergeCell ref="G117:H117"/>
    <mergeCell ref="L117:M117"/>
    <mergeCell ref="O117:P117"/>
    <mergeCell ref="T117:U117"/>
    <mergeCell ref="W117:X117"/>
    <mergeCell ref="D118:E118"/>
    <mergeCell ref="G118:H118"/>
    <mergeCell ref="L118:M118"/>
    <mergeCell ref="O118:P118"/>
    <mergeCell ref="T118:U118"/>
    <mergeCell ref="W118:X118"/>
    <mergeCell ref="D162:Y162"/>
    <mergeCell ref="Z162:AC162"/>
    <mergeCell ref="D163:Y163"/>
    <mergeCell ref="Z163:AC163"/>
    <mergeCell ref="D164:Y164"/>
    <mergeCell ref="Z164:AC164"/>
    <mergeCell ref="D119:E119"/>
    <mergeCell ref="G119:H119"/>
    <mergeCell ref="L119:M119"/>
    <mergeCell ref="O119:P119"/>
    <mergeCell ref="T119:U119"/>
    <mergeCell ref="W119:X119"/>
    <mergeCell ref="D120:E120"/>
    <mergeCell ref="G120:H120"/>
    <mergeCell ref="L120:M120"/>
    <mergeCell ref="O120:P120"/>
    <mergeCell ref="T120:U120"/>
    <mergeCell ref="W120:X120"/>
    <mergeCell ref="Z134:Z135"/>
    <mergeCell ref="AA134:AA135"/>
    <mergeCell ref="T135:U135"/>
    <mergeCell ref="W135:X135"/>
    <mergeCell ref="D136:E136"/>
    <mergeCell ref="G136:H136"/>
  </mergeCells>
  <phoneticPr fontId="2" type="noConversion"/>
  <dataValidations count="4">
    <dataValidation type="textLength" operator="lessThan" allowBlank="1" showInputMessage="1" showErrorMessage="1" sqref="AB7:AB22 AB41:AB54 AB128 AB136:AB139 AB150:AB152 AB65:AB124" xr:uid="{67DC3B74-96EF-48C4-8410-9E33FCE88457}">
      <formula1>500</formula1>
    </dataValidation>
    <dataValidation type="textLength" operator="lessThan" allowBlank="1" showInputMessage="1" showErrorMessage="1" error="الرجاء ادخال نص وحدة القياس" sqref="AA7:AA22 AA41:AA54 K136:K139 S136:S139 AA136:AA139 S150:S152 AA150:AA152 K150:K152 S65:S124 AA65:AA123 K65:K124" xr:uid="{0CC183B4-224A-4CAC-8D68-AA4014DA1A09}">
      <formula1>500</formula1>
    </dataValidation>
    <dataValidation type="decimal" allowBlank="1" showInputMessage="1" showErrorMessage="1" error="الرجاء ادخال الكمية رقم صحيح باللغة الانجليزية 0123456789" sqref="Z7:Z22 R7:R22 Z41:Z54 R41:R54 R128 Z128 R136:R139 Z136:Z139 Z150:Z152 R150:R152 J150:J152 R65:R124 Z65:Z124 J121:J124" xr:uid="{9B7E0E76-1DFD-44A1-B864-B275B566EE96}">
      <formula1>0</formula1>
      <formula2>1000000000</formula2>
    </dataValidation>
    <dataValidation type="decimal" allowBlank="1" showInputMessage="1" showErrorMessage="1" error="الرجاء ادخال سعر الوحدة (الريال) رقم صحيح او كسر اكبر من صفر وبحد اقصي أربع ارقام بعد العلامه العشرية باللغة الانجليزية 0123456789" sqref="Y136:Y139 Y150:Y152 Q150:Q152 I150:I152 Y121:Y124 I121:I124 I7:I22" xr:uid="{3F952A2E-A926-491D-94A6-0921EDDEA91B}">
      <formula1>0</formula1>
      <formula2>1000000000</formula2>
    </dataValidation>
  </dataValidations>
  <pageMargins left="0.7" right="0.7" top="0.75" bottom="0.75" header="0.3" footer="0.3"/>
  <pageSetup paperSize="9" fitToWidth="0" fitToHeight="0" orientation="portrait" horizontalDpi="300" verticalDpi="300" r:id="rId1"/>
  <rowBreaks count="1" manualBreakCount="1">
    <brk id="7" min="20" max="30" man="1"/>
  </rowBreaks>
  <colBreaks count="1" manualBreakCount="1">
    <brk id="25" max="1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CE70-D8A9-4299-A3E5-0D66E410C376}">
  <dimension ref="H1:AH64"/>
  <sheetViews>
    <sheetView showGridLines="0" tabSelected="1" topLeftCell="K9" zoomScale="50" zoomScaleNormal="50" workbookViewId="0">
      <selection activeCell="AG10" sqref="AD10:AG46"/>
    </sheetView>
  </sheetViews>
  <sheetFormatPr defaultRowHeight="20.25"/>
  <cols>
    <col min="1" max="7" width="8.88671875" style="21"/>
    <col min="8" max="8" width="9.109375" style="21" bestFit="1" customWidth="1"/>
    <col min="9" max="12" width="8.88671875" style="21"/>
    <col min="13" max="13" width="17" style="21" customWidth="1"/>
    <col min="14" max="14" width="36.88671875" style="34" bestFit="1" customWidth="1"/>
    <col min="15" max="15" width="17.88671875" style="21" bestFit="1" customWidth="1"/>
    <col min="16" max="16" width="15.6640625" style="21" bestFit="1" customWidth="1"/>
    <col min="17" max="17" width="17.88671875" style="21" bestFit="1" customWidth="1"/>
    <col min="18" max="18" width="15.77734375" style="21" bestFit="1" customWidth="1"/>
    <col min="19" max="19" width="8" style="21" bestFit="1" customWidth="1"/>
    <col min="20" max="20" width="11.6640625" style="21" bestFit="1" customWidth="1"/>
    <col min="21" max="21" width="17.88671875" style="21" bestFit="1" customWidth="1"/>
    <col min="22" max="22" width="32.5546875" style="21" bestFit="1" customWidth="1"/>
    <col min="23" max="23" width="17.88671875" style="21" bestFit="1" customWidth="1"/>
    <col min="24" max="24" width="15.77734375" style="21" bestFit="1" customWidth="1"/>
    <col min="25" max="25" width="17.33203125" style="21" bestFit="1" customWidth="1"/>
    <col min="26" max="26" width="8.88671875" style="21"/>
    <col min="27" max="28" width="15" style="21" customWidth="1"/>
    <col min="29" max="29" width="17.44140625" style="34" bestFit="1" customWidth="1"/>
    <col min="30" max="30" width="11.109375" style="34" customWidth="1"/>
    <col min="31" max="31" width="13.33203125" style="34" hidden="1" customWidth="1"/>
    <col min="32" max="32" width="9.6640625" style="34" hidden="1" customWidth="1"/>
    <col min="33" max="33" width="62.109375" style="34" bestFit="1" customWidth="1"/>
    <col min="34" max="34" width="27.5546875" style="21" customWidth="1"/>
    <col min="35" max="16384" width="8.88671875" style="21"/>
  </cols>
  <sheetData>
    <row r="1" spans="8:34">
      <c r="H1" s="21">
        <v>1</v>
      </c>
    </row>
    <row r="5" spans="8:34" ht="3" customHeight="1"/>
    <row r="6" spans="8:34" ht="45" customHeight="1">
      <c r="N6" s="41" t="s">
        <v>183</v>
      </c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</row>
    <row r="7" spans="8:34" ht="30" customHeight="1" thickBot="1">
      <c r="N7" s="36"/>
      <c r="O7" s="49" t="s">
        <v>11</v>
      </c>
      <c r="P7" s="50"/>
      <c r="Q7" s="50"/>
      <c r="R7" s="50"/>
      <c r="S7" s="50"/>
      <c r="T7" s="51"/>
      <c r="U7" s="42" t="s">
        <v>10</v>
      </c>
      <c r="V7" s="43"/>
      <c r="W7" s="43"/>
      <c r="X7" s="43"/>
      <c r="Y7" s="43"/>
      <c r="Z7" s="40"/>
      <c r="AA7" s="52" t="s">
        <v>9</v>
      </c>
      <c r="AB7" s="53"/>
      <c r="AC7" s="53"/>
      <c r="AD7" s="53"/>
      <c r="AE7" s="53"/>
      <c r="AF7" s="54"/>
      <c r="AG7" s="35" t="s">
        <v>1</v>
      </c>
      <c r="AH7" s="55" t="s">
        <v>0</v>
      </c>
    </row>
    <row r="8" spans="8:34" s="34" customFormat="1" ht="35.1" customHeight="1" thickBot="1">
      <c r="N8" s="47" t="s">
        <v>184</v>
      </c>
      <c r="O8" s="22" t="s">
        <v>7</v>
      </c>
      <c r="P8" s="23" t="s">
        <v>8</v>
      </c>
      <c r="Q8" s="22" t="s">
        <v>4</v>
      </c>
      <c r="R8" s="24" t="s">
        <v>6</v>
      </c>
      <c r="S8" s="25" t="s">
        <v>2</v>
      </c>
      <c r="T8" s="25" t="s">
        <v>5</v>
      </c>
      <c r="U8" s="22" t="s">
        <v>7</v>
      </c>
      <c r="V8" s="23" t="s">
        <v>8</v>
      </c>
      <c r="W8" s="22" t="s">
        <v>4</v>
      </c>
      <c r="X8" s="24" t="s">
        <v>6</v>
      </c>
      <c r="Y8" s="25" t="s">
        <v>2</v>
      </c>
      <c r="Z8" s="25" t="s">
        <v>5</v>
      </c>
      <c r="AA8" s="22" t="s">
        <v>7</v>
      </c>
      <c r="AB8" s="23" t="s">
        <v>8</v>
      </c>
      <c r="AC8" s="22" t="s">
        <v>4</v>
      </c>
      <c r="AD8" s="24" t="s">
        <v>6</v>
      </c>
      <c r="AE8" s="25" t="s">
        <v>2</v>
      </c>
      <c r="AF8" s="25" t="s">
        <v>5</v>
      </c>
      <c r="AG8" s="35"/>
      <c r="AH8" s="56"/>
    </row>
    <row r="9" spans="8:34" s="34" customFormat="1" ht="35.1" customHeight="1" thickBot="1">
      <c r="N9" s="48"/>
      <c r="O9" s="24" t="s">
        <v>3</v>
      </c>
      <c r="P9" s="25" t="s">
        <v>3</v>
      </c>
      <c r="Q9" s="24" t="s">
        <v>3</v>
      </c>
      <c r="R9" s="24" t="s">
        <v>3</v>
      </c>
      <c r="S9" s="27"/>
      <c r="T9" s="27"/>
      <c r="U9" s="24" t="s">
        <v>3</v>
      </c>
      <c r="V9" s="25" t="s">
        <v>3</v>
      </c>
      <c r="W9" s="24" t="s">
        <v>3</v>
      </c>
      <c r="X9" s="24" t="s">
        <v>3</v>
      </c>
      <c r="Y9" s="27"/>
      <c r="Z9" s="27"/>
      <c r="AA9" s="26" t="s">
        <v>3</v>
      </c>
      <c r="AB9" s="25" t="s">
        <v>3</v>
      </c>
      <c r="AC9" s="26" t="s">
        <v>3</v>
      </c>
      <c r="AD9" s="24" t="s">
        <v>3</v>
      </c>
      <c r="AE9" s="27"/>
      <c r="AF9" s="27"/>
      <c r="AG9" s="35"/>
      <c r="AH9" s="57"/>
    </row>
    <row r="10" spans="8:34" ht="35.1" customHeight="1" thickBot="1">
      <c r="N10" s="39">
        <f t="shared" ref="N10:N41" si="0">AA10+U10+O10</f>
        <v>111559.2</v>
      </c>
      <c r="O10" s="28">
        <f>P10+Q10</f>
        <v>39560</v>
      </c>
      <c r="P10" s="28">
        <f>Q10*0.15</f>
        <v>5160</v>
      </c>
      <c r="Q10" s="28">
        <f>S10*R10</f>
        <v>34400</v>
      </c>
      <c r="R10" s="28">
        <v>50</v>
      </c>
      <c r="S10" s="28">
        <v>688</v>
      </c>
      <c r="T10" s="28" t="s">
        <v>181</v>
      </c>
      <c r="U10" s="28">
        <f>V10+W10</f>
        <v>40351.199999999997</v>
      </c>
      <c r="V10" s="28">
        <f>W10*0.15</f>
        <v>5263.2</v>
      </c>
      <c r="W10" s="28">
        <f>Y10*X10</f>
        <v>35088</v>
      </c>
      <c r="X10" s="28">
        <v>51</v>
      </c>
      <c r="Y10" s="28">
        <v>688</v>
      </c>
      <c r="Z10" s="28" t="s">
        <v>181</v>
      </c>
      <c r="AA10" s="28">
        <f t="shared" ref="AA10:AA41" si="1">AB10+AC10</f>
        <v>31648</v>
      </c>
      <c r="AB10" s="28">
        <f t="shared" ref="AB10:AB41" si="2">AC10*0.15</f>
        <v>4128</v>
      </c>
      <c r="AC10" s="28">
        <f>AE10*AD10</f>
        <v>27520</v>
      </c>
      <c r="AD10" s="28">
        <v>40</v>
      </c>
      <c r="AE10" s="28">
        <v>688</v>
      </c>
      <c r="AF10" s="28" t="s">
        <v>181</v>
      </c>
      <c r="AG10" s="20" t="s">
        <v>126</v>
      </c>
      <c r="AH10" s="28">
        <v>1</v>
      </c>
    </row>
    <row r="11" spans="8:34" ht="35.1" customHeight="1" thickBot="1">
      <c r="N11" s="39">
        <f t="shared" si="0"/>
        <v>230874</v>
      </c>
      <c r="O11" s="28">
        <f t="shared" ref="O11:O61" si="3">P11+Q11</f>
        <v>82455</v>
      </c>
      <c r="P11" s="28">
        <f t="shared" ref="P11:P61" si="4">Q11*0.15</f>
        <v>10755</v>
      </c>
      <c r="Q11" s="28">
        <f t="shared" ref="Q11:Q60" si="5">S11*R11</f>
        <v>71700</v>
      </c>
      <c r="R11" s="28">
        <v>50</v>
      </c>
      <c r="S11" s="28">
        <v>1434</v>
      </c>
      <c r="T11" s="28" t="s">
        <v>181</v>
      </c>
      <c r="U11" s="28">
        <f t="shared" ref="U11:U61" si="6">V11+W11</f>
        <v>82455</v>
      </c>
      <c r="V11" s="28">
        <f t="shared" ref="V11:V61" si="7">W11*0.15</f>
        <v>10755</v>
      </c>
      <c r="W11" s="28">
        <f t="shared" ref="W11:W60" si="8">Y11*X11</f>
        <v>71700</v>
      </c>
      <c r="X11" s="28">
        <v>50</v>
      </c>
      <c r="Y11" s="28">
        <v>1434</v>
      </c>
      <c r="Z11" s="28" t="s">
        <v>181</v>
      </c>
      <c r="AA11" s="28">
        <f t="shared" si="1"/>
        <v>65964</v>
      </c>
      <c r="AB11" s="28">
        <f t="shared" si="2"/>
        <v>8604</v>
      </c>
      <c r="AC11" s="28">
        <f t="shared" ref="AC11:AC60" si="9">AE11*AD11</f>
        <v>57360</v>
      </c>
      <c r="AD11" s="28">
        <v>40</v>
      </c>
      <c r="AE11" s="28">
        <v>1434</v>
      </c>
      <c r="AF11" s="28" t="s">
        <v>181</v>
      </c>
      <c r="AG11" s="20" t="s">
        <v>127</v>
      </c>
      <c r="AH11" s="28">
        <v>2</v>
      </c>
    </row>
    <row r="12" spans="8:34" ht="35.1" customHeight="1" thickBot="1">
      <c r="N12" s="39">
        <f t="shared" si="0"/>
        <v>881636</v>
      </c>
      <c r="O12" s="28">
        <f t="shared" si="3"/>
        <v>314870</v>
      </c>
      <c r="P12" s="28">
        <f t="shared" si="4"/>
        <v>41070</v>
      </c>
      <c r="Q12" s="28">
        <f t="shared" si="5"/>
        <v>273800</v>
      </c>
      <c r="R12" s="28">
        <v>50</v>
      </c>
      <c r="S12" s="28">
        <v>5476</v>
      </c>
      <c r="T12" s="28" t="s">
        <v>181</v>
      </c>
      <c r="U12" s="28">
        <f t="shared" si="6"/>
        <v>314870</v>
      </c>
      <c r="V12" s="28">
        <f t="shared" si="7"/>
        <v>41070</v>
      </c>
      <c r="W12" s="28">
        <f t="shared" si="8"/>
        <v>273800</v>
      </c>
      <c r="X12" s="28">
        <v>50</v>
      </c>
      <c r="Y12" s="28">
        <v>5476</v>
      </c>
      <c r="Z12" s="28" t="s">
        <v>181</v>
      </c>
      <c r="AA12" s="28">
        <f t="shared" si="1"/>
        <v>251896</v>
      </c>
      <c r="AB12" s="28">
        <f t="shared" si="2"/>
        <v>32856</v>
      </c>
      <c r="AC12" s="28">
        <f t="shared" si="9"/>
        <v>219040</v>
      </c>
      <c r="AD12" s="28">
        <v>40</v>
      </c>
      <c r="AE12" s="28">
        <v>5476</v>
      </c>
      <c r="AF12" s="28" t="s">
        <v>181</v>
      </c>
      <c r="AG12" s="20" t="s">
        <v>128</v>
      </c>
      <c r="AH12" s="28">
        <v>3</v>
      </c>
    </row>
    <row r="13" spans="8:34" ht="35.1" customHeight="1" thickBot="1">
      <c r="N13" s="39">
        <f t="shared" si="0"/>
        <v>2020228</v>
      </c>
      <c r="O13" s="28">
        <f t="shared" si="3"/>
        <v>631321.25</v>
      </c>
      <c r="P13" s="28">
        <f t="shared" si="4"/>
        <v>82346.25</v>
      </c>
      <c r="Q13" s="28">
        <f t="shared" si="5"/>
        <v>548975</v>
      </c>
      <c r="R13" s="28">
        <v>25</v>
      </c>
      <c r="S13" s="28">
        <v>21959</v>
      </c>
      <c r="T13" s="28" t="s">
        <v>181</v>
      </c>
      <c r="U13" s="28">
        <f t="shared" si="6"/>
        <v>631321.25</v>
      </c>
      <c r="V13" s="28">
        <f t="shared" si="7"/>
        <v>82346.25</v>
      </c>
      <c r="W13" s="28">
        <f t="shared" si="8"/>
        <v>548975</v>
      </c>
      <c r="X13" s="28">
        <v>25</v>
      </c>
      <c r="Y13" s="28">
        <v>21959</v>
      </c>
      <c r="Z13" s="28" t="s">
        <v>181</v>
      </c>
      <c r="AA13" s="28">
        <f t="shared" si="1"/>
        <v>757585.5</v>
      </c>
      <c r="AB13" s="28">
        <f t="shared" si="2"/>
        <v>98815.5</v>
      </c>
      <c r="AC13" s="28">
        <f t="shared" si="9"/>
        <v>658770</v>
      </c>
      <c r="AD13" s="28">
        <v>30</v>
      </c>
      <c r="AE13" s="28">
        <v>21959</v>
      </c>
      <c r="AF13" s="28" t="s">
        <v>181</v>
      </c>
      <c r="AG13" s="20" t="s">
        <v>129</v>
      </c>
      <c r="AH13" s="28">
        <v>4</v>
      </c>
    </row>
    <row r="14" spans="8:34" ht="35.1" customHeight="1" thickBot="1">
      <c r="N14" s="39">
        <f t="shared" si="0"/>
        <v>6762</v>
      </c>
      <c r="O14" s="28">
        <f t="shared" si="3"/>
        <v>2415</v>
      </c>
      <c r="P14" s="28">
        <f t="shared" si="4"/>
        <v>315</v>
      </c>
      <c r="Q14" s="28">
        <f t="shared" si="5"/>
        <v>2100</v>
      </c>
      <c r="R14" s="28">
        <v>50</v>
      </c>
      <c r="S14" s="28">
        <v>42</v>
      </c>
      <c r="T14" s="28" t="s">
        <v>181</v>
      </c>
      <c r="U14" s="28">
        <f t="shared" si="6"/>
        <v>2415</v>
      </c>
      <c r="V14" s="28">
        <f t="shared" si="7"/>
        <v>315</v>
      </c>
      <c r="W14" s="28">
        <f t="shared" si="8"/>
        <v>2100</v>
      </c>
      <c r="X14" s="28">
        <v>50</v>
      </c>
      <c r="Y14" s="28">
        <v>42</v>
      </c>
      <c r="Z14" s="28" t="s">
        <v>181</v>
      </c>
      <c r="AA14" s="28">
        <f t="shared" si="1"/>
        <v>1932</v>
      </c>
      <c r="AB14" s="28">
        <f t="shared" si="2"/>
        <v>252</v>
      </c>
      <c r="AC14" s="28">
        <f t="shared" si="9"/>
        <v>1680</v>
      </c>
      <c r="AD14" s="28">
        <v>40</v>
      </c>
      <c r="AE14" s="28">
        <v>42</v>
      </c>
      <c r="AF14" s="28" t="s">
        <v>181</v>
      </c>
      <c r="AG14" s="20" t="s">
        <v>130</v>
      </c>
      <c r="AH14" s="28">
        <v>5</v>
      </c>
    </row>
    <row r="15" spans="8:34" ht="35.1" customHeight="1" thickBot="1">
      <c r="N15" s="39">
        <f t="shared" si="0"/>
        <v>267168</v>
      </c>
      <c r="O15" s="28">
        <f t="shared" si="3"/>
        <v>83490</v>
      </c>
      <c r="P15" s="28">
        <f t="shared" si="4"/>
        <v>10890</v>
      </c>
      <c r="Q15" s="28">
        <f t="shared" si="5"/>
        <v>72600</v>
      </c>
      <c r="R15" s="28">
        <v>50</v>
      </c>
      <c r="S15" s="28">
        <v>1452</v>
      </c>
      <c r="T15" s="28" t="s">
        <v>108</v>
      </c>
      <c r="U15" s="28">
        <f t="shared" si="6"/>
        <v>83490</v>
      </c>
      <c r="V15" s="28">
        <f t="shared" si="7"/>
        <v>10890</v>
      </c>
      <c r="W15" s="28">
        <f t="shared" si="8"/>
        <v>72600</v>
      </c>
      <c r="X15" s="28">
        <v>50</v>
      </c>
      <c r="Y15" s="28">
        <v>1452</v>
      </c>
      <c r="Z15" s="28" t="s">
        <v>108</v>
      </c>
      <c r="AA15" s="28">
        <f t="shared" si="1"/>
        <v>100188</v>
      </c>
      <c r="AB15" s="28">
        <f t="shared" si="2"/>
        <v>13068</v>
      </c>
      <c r="AC15" s="28">
        <f t="shared" si="9"/>
        <v>87120</v>
      </c>
      <c r="AD15" s="28">
        <v>60</v>
      </c>
      <c r="AE15" s="28">
        <v>1452</v>
      </c>
      <c r="AF15" s="28" t="s">
        <v>108</v>
      </c>
      <c r="AG15" s="20" t="s">
        <v>131</v>
      </c>
      <c r="AH15" s="28">
        <v>6</v>
      </c>
    </row>
    <row r="16" spans="8:34" ht="35.1" customHeight="1" thickBot="1">
      <c r="N16" s="39">
        <f t="shared" si="0"/>
        <v>1822060</v>
      </c>
      <c r="O16" s="28">
        <f t="shared" si="3"/>
        <v>637721</v>
      </c>
      <c r="P16" s="28">
        <f t="shared" si="4"/>
        <v>83181</v>
      </c>
      <c r="Q16" s="28">
        <f t="shared" si="5"/>
        <v>554540</v>
      </c>
      <c r="R16" s="28">
        <v>70</v>
      </c>
      <c r="S16" s="28">
        <v>7922</v>
      </c>
      <c r="T16" s="28" t="s">
        <v>108</v>
      </c>
      <c r="U16" s="28">
        <f t="shared" si="6"/>
        <v>637721</v>
      </c>
      <c r="V16" s="28">
        <f t="shared" si="7"/>
        <v>83181</v>
      </c>
      <c r="W16" s="28">
        <f t="shared" si="8"/>
        <v>554540</v>
      </c>
      <c r="X16" s="28">
        <v>70</v>
      </c>
      <c r="Y16" s="28">
        <v>7922</v>
      </c>
      <c r="Z16" s="28" t="s">
        <v>108</v>
      </c>
      <c r="AA16" s="28">
        <f t="shared" si="1"/>
        <v>546618</v>
      </c>
      <c r="AB16" s="28">
        <f t="shared" si="2"/>
        <v>71298</v>
      </c>
      <c r="AC16" s="28">
        <f t="shared" si="9"/>
        <v>475320</v>
      </c>
      <c r="AD16" s="28">
        <v>60</v>
      </c>
      <c r="AE16" s="28">
        <v>7922</v>
      </c>
      <c r="AF16" s="28" t="s">
        <v>108</v>
      </c>
      <c r="AG16" s="20" t="s">
        <v>132</v>
      </c>
      <c r="AH16" s="28">
        <v>7</v>
      </c>
    </row>
    <row r="17" spans="14:34" ht="35.1" customHeight="1" thickBot="1">
      <c r="N17" s="39">
        <f t="shared" si="0"/>
        <v>16226.5</v>
      </c>
      <c r="O17" s="28">
        <f t="shared" si="3"/>
        <v>5727</v>
      </c>
      <c r="P17" s="28">
        <f t="shared" si="4"/>
        <v>747</v>
      </c>
      <c r="Q17" s="28">
        <f t="shared" si="5"/>
        <v>4980</v>
      </c>
      <c r="R17" s="28">
        <v>30</v>
      </c>
      <c r="S17" s="28">
        <v>166</v>
      </c>
      <c r="T17" s="28" t="s">
        <v>108</v>
      </c>
      <c r="U17" s="28">
        <f t="shared" si="6"/>
        <v>5727</v>
      </c>
      <c r="V17" s="28">
        <f t="shared" si="7"/>
        <v>747</v>
      </c>
      <c r="W17" s="28">
        <f t="shared" si="8"/>
        <v>4980</v>
      </c>
      <c r="X17" s="28">
        <v>30</v>
      </c>
      <c r="Y17" s="28">
        <v>166</v>
      </c>
      <c r="Z17" s="28" t="s">
        <v>108</v>
      </c>
      <c r="AA17" s="28">
        <f t="shared" si="1"/>
        <v>4772.5</v>
      </c>
      <c r="AB17" s="28">
        <f t="shared" si="2"/>
        <v>622.5</v>
      </c>
      <c r="AC17" s="28">
        <f t="shared" si="9"/>
        <v>4150</v>
      </c>
      <c r="AD17" s="28">
        <v>25</v>
      </c>
      <c r="AE17" s="28">
        <v>166</v>
      </c>
      <c r="AF17" s="28" t="s">
        <v>108</v>
      </c>
      <c r="AG17" s="20" t="s">
        <v>133</v>
      </c>
      <c r="AH17" s="28">
        <v>8</v>
      </c>
    </row>
    <row r="18" spans="14:34" ht="35.1" customHeight="1" thickBot="1">
      <c r="N18" s="39">
        <f t="shared" si="0"/>
        <v>1920500</v>
      </c>
      <c r="O18" s="28">
        <f t="shared" si="3"/>
        <v>600156.25</v>
      </c>
      <c r="P18" s="28">
        <f t="shared" si="4"/>
        <v>78281.25</v>
      </c>
      <c r="Q18" s="28">
        <f t="shared" si="5"/>
        <v>521875</v>
      </c>
      <c r="R18" s="28">
        <v>25</v>
      </c>
      <c r="S18" s="28">
        <v>20875</v>
      </c>
      <c r="T18" s="28" t="s">
        <v>181</v>
      </c>
      <c r="U18" s="28">
        <f t="shared" si="6"/>
        <v>600156.25</v>
      </c>
      <c r="V18" s="28">
        <f t="shared" si="7"/>
        <v>78281.25</v>
      </c>
      <c r="W18" s="28">
        <f t="shared" si="8"/>
        <v>521875</v>
      </c>
      <c r="X18" s="28">
        <v>25</v>
      </c>
      <c r="Y18" s="28">
        <v>20875</v>
      </c>
      <c r="Z18" s="28" t="s">
        <v>181</v>
      </c>
      <c r="AA18" s="28">
        <f t="shared" si="1"/>
        <v>720187.5</v>
      </c>
      <c r="AB18" s="28">
        <f t="shared" si="2"/>
        <v>93937.5</v>
      </c>
      <c r="AC18" s="28">
        <f t="shared" si="9"/>
        <v>626250</v>
      </c>
      <c r="AD18" s="28">
        <v>30</v>
      </c>
      <c r="AE18" s="28">
        <v>20875</v>
      </c>
      <c r="AF18" s="28" t="s">
        <v>181</v>
      </c>
      <c r="AG18" s="20" t="s">
        <v>134</v>
      </c>
      <c r="AH18" s="28">
        <v>9</v>
      </c>
    </row>
    <row r="19" spans="14:34" ht="35.1" customHeight="1" thickBot="1">
      <c r="N19" s="39">
        <f t="shared" si="0"/>
        <v>8452.5</v>
      </c>
      <c r="O19" s="28">
        <f t="shared" si="3"/>
        <v>2817.5</v>
      </c>
      <c r="P19" s="28">
        <f t="shared" si="4"/>
        <v>367.5</v>
      </c>
      <c r="Q19" s="28">
        <f t="shared" si="5"/>
        <v>2450</v>
      </c>
      <c r="R19" s="28">
        <v>25</v>
      </c>
      <c r="S19" s="28">
        <v>98</v>
      </c>
      <c r="T19" s="28" t="s">
        <v>181</v>
      </c>
      <c r="U19" s="28">
        <f t="shared" si="6"/>
        <v>2817.5</v>
      </c>
      <c r="V19" s="28">
        <f t="shared" si="7"/>
        <v>367.5</v>
      </c>
      <c r="W19" s="28">
        <f t="shared" si="8"/>
        <v>2450</v>
      </c>
      <c r="X19" s="28">
        <v>25</v>
      </c>
      <c r="Y19" s="28">
        <v>98</v>
      </c>
      <c r="Z19" s="28" t="s">
        <v>181</v>
      </c>
      <c r="AA19" s="28">
        <f t="shared" si="1"/>
        <v>2817.5</v>
      </c>
      <c r="AB19" s="28">
        <f t="shared" si="2"/>
        <v>367.5</v>
      </c>
      <c r="AC19" s="28">
        <f t="shared" si="9"/>
        <v>2450</v>
      </c>
      <c r="AD19" s="28">
        <v>25</v>
      </c>
      <c r="AE19" s="28">
        <v>98</v>
      </c>
      <c r="AF19" s="28" t="s">
        <v>181</v>
      </c>
      <c r="AG19" s="20" t="s">
        <v>135</v>
      </c>
      <c r="AH19" s="28">
        <v>10</v>
      </c>
    </row>
    <row r="20" spans="14:34" ht="35.1" customHeight="1" thickBot="1">
      <c r="N20" s="39">
        <f t="shared" si="0"/>
        <v>3622.5</v>
      </c>
      <c r="O20" s="28">
        <f t="shared" si="3"/>
        <v>1207.5</v>
      </c>
      <c r="P20" s="28">
        <f t="shared" si="4"/>
        <v>157.5</v>
      </c>
      <c r="Q20" s="28">
        <f t="shared" si="5"/>
        <v>1050</v>
      </c>
      <c r="R20" s="28">
        <v>25</v>
      </c>
      <c r="S20" s="28">
        <v>42</v>
      </c>
      <c r="T20" s="28" t="s">
        <v>181</v>
      </c>
      <c r="U20" s="28">
        <f t="shared" si="6"/>
        <v>1207.5</v>
      </c>
      <c r="V20" s="28">
        <f t="shared" si="7"/>
        <v>157.5</v>
      </c>
      <c r="W20" s="28">
        <f t="shared" si="8"/>
        <v>1050</v>
      </c>
      <c r="X20" s="28">
        <v>25</v>
      </c>
      <c r="Y20" s="28">
        <v>42</v>
      </c>
      <c r="Z20" s="28" t="s">
        <v>181</v>
      </c>
      <c r="AA20" s="28">
        <f t="shared" si="1"/>
        <v>1207.5</v>
      </c>
      <c r="AB20" s="28">
        <f t="shared" si="2"/>
        <v>157.5</v>
      </c>
      <c r="AC20" s="28">
        <f t="shared" si="9"/>
        <v>1050</v>
      </c>
      <c r="AD20" s="28">
        <v>25</v>
      </c>
      <c r="AE20" s="28">
        <v>42</v>
      </c>
      <c r="AF20" s="28" t="s">
        <v>181</v>
      </c>
      <c r="AG20" s="20" t="s">
        <v>136</v>
      </c>
      <c r="AH20" s="28">
        <v>11</v>
      </c>
    </row>
    <row r="21" spans="14:34" ht="35.1" customHeight="1" thickBot="1">
      <c r="N21" s="39">
        <f t="shared" si="0"/>
        <v>95450</v>
      </c>
      <c r="O21" s="28">
        <f t="shared" si="3"/>
        <v>33407.5</v>
      </c>
      <c r="P21" s="28">
        <f t="shared" si="4"/>
        <v>4357.5</v>
      </c>
      <c r="Q21" s="28">
        <f t="shared" si="5"/>
        <v>29050</v>
      </c>
      <c r="R21" s="28">
        <v>70</v>
      </c>
      <c r="S21" s="28">
        <v>415</v>
      </c>
      <c r="T21" s="28" t="s">
        <v>181</v>
      </c>
      <c r="U21" s="28">
        <f t="shared" si="6"/>
        <v>33407.5</v>
      </c>
      <c r="V21" s="28">
        <f t="shared" si="7"/>
        <v>4357.5</v>
      </c>
      <c r="W21" s="28">
        <f t="shared" si="8"/>
        <v>29050</v>
      </c>
      <c r="X21" s="28">
        <v>70</v>
      </c>
      <c r="Y21" s="28">
        <v>415</v>
      </c>
      <c r="Z21" s="28" t="s">
        <v>181</v>
      </c>
      <c r="AA21" s="28">
        <f t="shared" si="1"/>
        <v>28635</v>
      </c>
      <c r="AB21" s="28">
        <f t="shared" si="2"/>
        <v>3735</v>
      </c>
      <c r="AC21" s="28">
        <f t="shared" si="9"/>
        <v>24900</v>
      </c>
      <c r="AD21" s="28">
        <v>60</v>
      </c>
      <c r="AE21" s="28">
        <v>415</v>
      </c>
      <c r="AF21" s="28" t="s">
        <v>181</v>
      </c>
      <c r="AG21" s="20" t="s">
        <v>137</v>
      </c>
      <c r="AH21" s="28">
        <v>12</v>
      </c>
    </row>
    <row r="22" spans="14:34" ht="35.1" customHeight="1" thickBot="1">
      <c r="N22" s="39">
        <f t="shared" si="0"/>
        <v>30544</v>
      </c>
      <c r="O22" s="28">
        <f t="shared" si="3"/>
        <v>9545</v>
      </c>
      <c r="P22" s="28">
        <f t="shared" si="4"/>
        <v>1245</v>
      </c>
      <c r="Q22" s="28">
        <f t="shared" si="5"/>
        <v>8300</v>
      </c>
      <c r="R22" s="28">
        <v>50</v>
      </c>
      <c r="S22" s="28">
        <v>166</v>
      </c>
      <c r="T22" s="28" t="s">
        <v>181</v>
      </c>
      <c r="U22" s="28">
        <f t="shared" si="6"/>
        <v>9545</v>
      </c>
      <c r="V22" s="28">
        <f t="shared" si="7"/>
        <v>1245</v>
      </c>
      <c r="W22" s="28">
        <f t="shared" si="8"/>
        <v>8300</v>
      </c>
      <c r="X22" s="28">
        <v>50</v>
      </c>
      <c r="Y22" s="28">
        <v>166</v>
      </c>
      <c r="Z22" s="28" t="s">
        <v>181</v>
      </c>
      <c r="AA22" s="28">
        <f t="shared" si="1"/>
        <v>11454</v>
      </c>
      <c r="AB22" s="28">
        <f t="shared" si="2"/>
        <v>1494</v>
      </c>
      <c r="AC22" s="28">
        <f t="shared" si="9"/>
        <v>9960</v>
      </c>
      <c r="AD22" s="28">
        <v>60</v>
      </c>
      <c r="AE22" s="28">
        <v>166</v>
      </c>
      <c r="AF22" s="28" t="s">
        <v>181</v>
      </c>
      <c r="AG22" s="20" t="s">
        <v>138</v>
      </c>
      <c r="AH22" s="28">
        <v>13</v>
      </c>
    </row>
    <row r="23" spans="14:34" ht="35.1" customHeight="1" thickBot="1">
      <c r="N23" s="39">
        <f t="shared" si="0"/>
        <v>3622.5</v>
      </c>
      <c r="O23" s="28">
        <f t="shared" si="3"/>
        <v>1207.5</v>
      </c>
      <c r="P23" s="28">
        <f t="shared" si="4"/>
        <v>157.5</v>
      </c>
      <c r="Q23" s="28">
        <f t="shared" si="5"/>
        <v>1050</v>
      </c>
      <c r="R23" s="28">
        <v>25</v>
      </c>
      <c r="S23" s="28">
        <v>42</v>
      </c>
      <c r="T23" s="28" t="s">
        <v>108</v>
      </c>
      <c r="U23" s="28">
        <f t="shared" si="6"/>
        <v>1207.5</v>
      </c>
      <c r="V23" s="28">
        <f t="shared" si="7"/>
        <v>157.5</v>
      </c>
      <c r="W23" s="28">
        <f t="shared" si="8"/>
        <v>1050</v>
      </c>
      <c r="X23" s="28">
        <v>25</v>
      </c>
      <c r="Y23" s="28">
        <v>42</v>
      </c>
      <c r="Z23" s="28" t="s">
        <v>108</v>
      </c>
      <c r="AA23" s="28">
        <f t="shared" si="1"/>
        <v>1207.5</v>
      </c>
      <c r="AB23" s="28">
        <f t="shared" si="2"/>
        <v>157.5</v>
      </c>
      <c r="AC23" s="28">
        <f t="shared" si="9"/>
        <v>1050</v>
      </c>
      <c r="AD23" s="28">
        <v>25</v>
      </c>
      <c r="AE23" s="28">
        <v>42</v>
      </c>
      <c r="AF23" s="28" t="s">
        <v>108</v>
      </c>
      <c r="AG23" s="20" t="s">
        <v>139</v>
      </c>
      <c r="AH23" s="28">
        <v>14</v>
      </c>
    </row>
    <row r="24" spans="14:34" ht="35.1" customHeight="1" thickBot="1">
      <c r="N24" s="39">
        <f t="shared" si="0"/>
        <v>3542</v>
      </c>
      <c r="O24" s="28">
        <f t="shared" si="3"/>
        <v>1288</v>
      </c>
      <c r="P24" s="28">
        <f t="shared" si="4"/>
        <v>168</v>
      </c>
      <c r="Q24" s="28">
        <f t="shared" si="5"/>
        <v>1120</v>
      </c>
      <c r="R24" s="28">
        <v>40</v>
      </c>
      <c r="S24" s="28">
        <v>28</v>
      </c>
      <c r="T24" s="28" t="s">
        <v>108</v>
      </c>
      <c r="U24" s="28">
        <f t="shared" si="6"/>
        <v>1288</v>
      </c>
      <c r="V24" s="28">
        <f t="shared" si="7"/>
        <v>168</v>
      </c>
      <c r="W24" s="28">
        <f t="shared" si="8"/>
        <v>1120</v>
      </c>
      <c r="X24" s="28">
        <v>40</v>
      </c>
      <c r="Y24" s="28">
        <v>28</v>
      </c>
      <c r="Z24" s="28" t="s">
        <v>108</v>
      </c>
      <c r="AA24" s="28">
        <f t="shared" si="1"/>
        <v>966</v>
      </c>
      <c r="AB24" s="28">
        <f t="shared" si="2"/>
        <v>126</v>
      </c>
      <c r="AC24" s="28">
        <f t="shared" si="9"/>
        <v>840</v>
      </c>
      <c r="AD24" s="28">
        <v>30</v>
      </c>
      <c r="AE24" s="28">
        <v>28</v>
      </c>
      <c r="AF24" s="28" t="s">
        <v>108</v>
      </c>
      <c r="AG24" s="20" t="s">
        <v>140</v>
      </c>
      <c r="AH24" s="28">
        <v>15</v>
      </c>
    </row>
    <row r="25" spans="14:34" ht="35.1" customHeight="1" thickBot="1">
      <c r="N25" s="39">
        <f t="shared" si="0"/>
        <v>9614</v>
      </c>
      <c r="O25" s="28">
        <f t="shared" si="3"/>
        <v>3496</v>
      </c>
      <c r="P25" s="28">
        <f t="shared" si="4"/>
        <v>456</v>
      </c>
      <c r="Q25" s="28">
        <f t="shared" si="5"/>
        <v>3040</v>
      </c>
      <c r="R25" s="28">
        <v>40</v>
      </c>
      <c r="S25" s="28">
        <v>76</v>
      </c>
      <c r="T25" s="28" t="s">
        <v>108</v>
      </c>
      <c r="U25" s="28">
        <f t="shared" si="6"/>
        <v>3496</v>
      </c>
      <c r="V25" s="28">
        <f t="shared" si="7"/>
        <v>456</v>
      </c>
      <c r="W25" s="28">
        <f t="shared" si="8"/>
        <v>3040</v>
      </c>
      <c r="X25" s="28">
        <v>40</v>
      </c>
      <c r="Y25" s="28">
        <v>76</v>
      </c>
      <c r="Z25" s="28" t="s">
        <v>108</v>
      </c>
      <c r="AA25" s="28">
        <f t="shared" si="1"/>
        <v>2622</v>
      </c>
      <c r="AB25" s="28">
        <f t="shared" si="2"/>
        <v>342</v>
      </c>
      <c r="AC25" s="28">
        <f t="shared" si="9"/>
        <v>2280</v>
      </c>
      <c r="AD25" s="28">
        <v>30</v>
      </c>
      <c r="AE25" s="28">
        <v>76</v>
      </c>
      <c r="AF25" s="28" t="s">
        <v>108</v>
      </c>
      <c r="AG25" s="20" t="s">
        <v>141</v>
      </c>
      <c r="AH25" s="28">
        <v>16</v>
      </c>
    </row>
    <row r="26" spans="14:34" ht="35.1" customHeight="1" thickBot="1">
      <c r="N26" s="39">
        <f t="shared" si="0"/>
        <v>9522</v>
      </c>
      <c r="O26" s="28">
        <f t="shared" si="3"/>
        <v>2484</v>
      </c>
      <c r="P26" s="28">
        <f t="shared" si="4"/>
        <v>324</v>
      </c>
      <c r="Q26" s="28">
        <f t="shared" si="5"/>
        <v>2160</v>
      </c>
      <c r="R26" s="28">
        <v>30</v>
      </c>
      <c r="S26" s="28">
        <v>72</v>
      </c>
      <c r="T26" s="28" t="s">
        <v>108</v>
      </c>
      <c r="U26" s="28">
        <f t="shared" si="6"/>
        <v>2484</v>
      </c>
      <c r="V26" s="28">
        <f t="shared" si="7"/>
        <v>324</v>
      </c>
      <c r="W26" s="28">
        <f t="shared" si="8"/>
        <v>2160</v>
      </c>
      <c r="X26" s="28">
        <v>30</v>
      </c>
      <c r="Y26" s="28">
        <v>72</v>
      </c>
      <c r="Z26" s="28" t="s">
        <v>108</v>
      </c>
      <c r="AA26" s="28">
        <f t="shared" si="1"/>
        <v>4554</v>
      </c>
      <c r="AB26" s="28">
        <f t="shared" si="2"/>
        <v>594</v>
      </c>
      <c r="AC26" s="28">
        <f t="shared" si="9"/>
        <v>3960</v>
      </c>
      <c r="AD26" s="28">
        <v>55</v>
      </c>
      <c r="AE26" s="28">
        <v>72</v>
      </c>
      <c r="AF26" s="28" t="s">
        <v>108</v>
      </c>
      <c r="AG26" s="20" t="s">
        <v>142</v>
      </c>
      <c r="AH26" s="28">
        <v>17</v>
      </c>
    </row>
    <row r="27" spans="14:34" ht="35.1" customHeight="1" thickBot="1">
      <c r="N27" s="39">
        <f t="shared" si="0"/>
        <v>4996.75</v>
      </c>
      <c r="O27" s="28">
        <f t="shared" si="3"/>
        <v>1817</v>
      </c>
      <c r="P27" s="28">
        <f t="shared" si="4"/>
        <v>237</v>
      </c>
      <c r="Q27" s="28">
        <f t="shared" si="5"/>
        <v>1580</v>
      </c>
      <c r="R27" s="28">
        <v>20</v>
      </c>
      <c r="S27" s="28">
        <v>79</v>
      </c>
      <c r="T27" s="28" t="s">
        <v>181</v>
      </c>
      <c r="U27" s="28">
        <f t="shared" si="6"/>
        <v>1817</v>
      </c>
      <c r="V27" s="28">
        <f t="shared" si="7"/>
        <v>237</v>
      </c>
      <c r="W27" s="28">
        <f t="shared" si="8"/>
        <v>1580</v>
      </c>
      <c r="X27" s="28">
        <v>20</v>
      </c>
      <c r="Y27" s="28">
        <v>79</v>
      </c>
      <c r="Z27" s="28" t="s">
        <v>181</v>
      </c>
      <c r="AA27" s="28">
        <f t="shared" si="1"/>
        <v>1362.75</v>
      </c>
      <c r="AB27" s="28">
        <f t="shared" si="2"/>
        <v>177.75</v>
      </c>
      <c r="AC27" s="28">
        <f t="shared" si="9"/>
        <v>1185</v>
      </c>
      <c r="AD27" s="28">
        <v>15</v>
      </c>
      <c r="AE27" s="28">
        <v>79</v>
      </c>
      <c r="AF27" s="28" t="s">
        <v>181</v>
      </c>
      <c r="AG27" s="20" t="s">
        <v>143</v>
      </c>
      <c r="AH27" s="28">
        <v>18</v>
      </c>
    </row>
    <row r="28" spans="14:34" ht="35.1" customHeight="1" thickBot="1">
      <c r="N28" s="39">
        <f t="shared" si="0"/>
        <v>11454</v>
      </c>
      <c r="O28" s="28">
        <f t="shared" si="3"/>
        <v>3818</v>
      </c>
      <c r="P28" s="28">
        <f t="shared" si="4"/>
        <v>498</v>
      </c>
      <c r="Q28" s="28">
        <f t="shared" si="5"/>
        <v>3320</v>
      </c>
      <c r="R28" s="28">
        <v>20</v>
      </c>
      <c r="S28" s="28">
        <v>166</v>
      </c>
      <c r="T28" s="28" t="s">
        <v>181</v>
      </c>
      <c r="U28" s="28">
        <f t="shared" si="6"/>
        <v>3818</v>
      </c>
      <c r="V28" s="28">
        <f t="shared" si="7"/>
        <v>498</v>
      </c>
      <c r="W28" s="28">
        <f t="shared" si="8"/>
        <v>3320</v>
      </c>
      <c r="X28" s="28">
        <v>20</v>
      </c>
      <c r="Y28" s="28">
        <v>166</v>
      </c>
      <c r="Z28" s="28" t="s">
        <v>181</v>
      </c>
      <c r="AA28" s="28">
        <f t="shared" si="1"/>
        <v>3818</v>
      </c>
      <c r="AB28" s="28">
        <f t="shared" si="2"/>
        <v>498</v>
      </c>
      <c r="AC28" s="28">
        <f t="shared" si="9"/>
        <v>3320</v>
      </c>
      <c r="AD28" s="28">
        <v>20</v>
      </c>
      <c r="AE28" s="28">
        <v>166</v>
      </c>
      <c r="AF28" s="28" t="s">
        <v>181</v>
      </c>
      <c r="AG28" s="20" t="s">
        <v>144</v>
      </c>
      <c r="AH28" s="28">
        <v>19</v>
      </c>
    </row>
    <row r="29" spans="14:34" ht="35.1" customHeight="1" thickBot="1">
      <c r="N29" s="39">
        <f t="shared" si="0"/>
        <v>9591</v>
      </c>
      <c r="O29" s="28">
        <f t="shared" si="3"/>
        <v>3197</v>
      </c>
      <c r="P29" s="28">
        <f t="shared" si="4"/>
        <v>417</v>
      </c>
      <c r="Q29" s="28">
        <f t="shared" si="5"/>
        <v>2780</v>
      </c>
      <c r="R29" s="28">
        <v>20</v>
      </c>
      <c r="S29" s="28">
        <v>139</v>
      </c>
      <c r="T29" s="28" t="s">
        <v>181</v>
      </c>
      <c r="U29" s="28">
        <f t="shared" si="6"/>
        <v>3197</v>
      </c>
      <c r="V29" s="28">
        <f t="shared" si="7"/>
        <v>417</v>
      </c>
      <c r="W29" s="28">
        <f t="shared" si="8"/>
        <v>2780</v>
      </c>
      <c r="X29" s="28">
        <v>20</v>
      </c>
      <c r="Y29" s="28">
        <v>139</v>
      </c>
      <c r="Z29" s="28" t="s">
        <v>181</v>
      </c>
      <c r="AA29" s="28">
        <f t="shared" si="1"/>
        <v>3197</v>
      </c>
      <c r="AB29" s="28">
        <f t="shared" si="2"/>
        <v>417</v>
      </c>
      <c r="AC29" s="28">
        <f t="shared" si="9"/>
        <v>2780</v>
      </c>
      <c r="AD29" s="28">
        <v>20</v>
      </c>
      <c r="AE29" s="28">
        <v>139</v>
      </c>
      <c r="AF29" s="28" t="s">
        <v>181</v>
      </c>
      <c r="AG29" s="20" t="s">
        <v>145</v>
      </c>
      <c r="AH29" s="28">
        <v>20</v>
      </c>
    </row>
    <row r="30" spans="14:34" ht="35.1" customHeight="1" thickBot="1">
      <c r="N30" s="39">
        <f t="shared" si="0"/>
        <v>15076.5</v>
      </c>
      <c r="O30" s="28">
        <f t="shared" si="3"/>
        <v>5554.5</v>
      </c>
      <c r="P30" s="28">
        <f t="shared" si="4"/>
        <v>724.5</v>
      </c>
      <c r="Q30" s="28">
        <f t="shared" si="5"/>
        <v>4830</v>
      </c>
      <c r="R30" s="28">
        <v>70</v>
      </c>
      <c r="S30" s="28">
        <v>69</v>
      </c>
      <c r="T30" s="28" t="s">
        <v>108</v>
      </c>
      <c r="U30" s="28">
        <f t="shared" si="6"/>
        <v>5554.5</v>
      </c>
      <c r="V30" s="28">
        <f t="shared" si="7"/>
        <v>724.5</v>
      </c>
      <c r="W30" s="28">
        <f t="shared" si="8"/>
        <v>4830</v>
      </c>
      <c r="X30" s="28">
        <v>70</v>
      </c>
      <c r="Y30" s="28">
        <v>69</v>
      </c>
      <c r="Z30" s="28" t="s">
        <v>108</v>
      </c>
      <c r="AA30" s="28">
        <f t="shared" si="1"/>
        <v>3967.5</v>
      </c>
      <c r="AB30" s="28">
        <f t="shared" si="2"/>
        <v>517.5</v>
      </c>
      <c r="AC30" s="28">
        <f t="shared" si="9"/>
        <v>3450</v>
      </c>
      <c r="AD30" s="28">
        <v>50</v>
      </c>
      <c r="AE30" s="28">
        <v>69</v>
      </c>
      <c r="AF30" s="28" t="s">
        <v>108</v>
      </c>
      <c r="AG30" s="20" t="s">
        <v>146</v>
      </c>
      <c r="AH30" s="28">
        <v>21</v>
      </c>
    </row>
    <row r="31" spans="14:34" ht="35.1" customHeight="1" thickBot="1">
      <c r="N31" s="39">
        <f t="shared" si="0"/>
        <v>44965</v>
      </c>
      <c r="O31" s="28">
        <f t="shared" si="3"/>
        <v>15870</v>
      </c>
      <c r="P31" s="28">
        <f t="shared" si="4"/>
        <v>2070</v>
      </c>
      <c r="Q31" s="28">
        <f t="shared" si="5"/>
        <v>13800</v>
      </c>
      <c r="R31" s="28">
        <v>60</v>
      </c>
      <c r="S31" s="28">
        <v>230</v>
      </c>
      <c r="T31" s="28" t="s">
        <v>108</v>
      </c>
      <c r="U31" s="28">
        <f t="shared" si="6"/>
        <v>15870</v>
      </c>
      <c r="V31" s="28">
        <f t="shared" si="7"/>
        <v>2070</v>
      </c>
      <c r="W31" s="28">
        <f t="shared" si="8"/>
        <v>13800</v>
      </c>
      <c r="X31" s="28">
        <v>60</v>
      </c>
      <c r="Y31" s="28">
        <v>230</v>
      </c>
      <c r="Z31" s="28" t="s">
        <v>108</v>
      </c>
      <c r="AA31" s="28">
        <f t="shared" si="1"/>
        <v>13225</v>
      </c>
      <c r="AB31" s="28">
        <f t="shared" si="2"/>
        <v>1725</v>
      </c>
      <c r="AC31" s="28">
        <f t="shared" si="9"/>
        <v>11500</v>
      </c>
      <c r="AD31" s="28">
        <v>50</v>
      </c>
      <c r="AE31" s="28">
        <v>230</v>
      </c>
      <c r="AF31" s="28" t="s">
        <v>108</v>
      </c>
      <c r="AG31" s="20" t="s">
        <v>147</v>
      </c>
      <c r="AH31" s="28">
        <v>22</v>
      </c>
    </row>
    <row r="32" spans="14:34" ht="35.1" customHeight="1" thickBot="1">
      <c r="N32" s="39">
        <f t="shared" si="0"/>
        <v>27076.75</v>
      </c>
      <c r="O32" s="28">
        <f t="shared" si="3"/>
        <v>9556.5</v>
      </c>
      <c r="P32" s="28">
        <f t="shared" si="4"/>
        <v>1246.5</v>
      </c>
      <c r="Q32" s="28">
        <f t="shared" si="5"/>
        <v>8310</v>
      </c>
      <c r="R32" s="28">
        <v>30</v>
      </c>
      <c r="S32" s="28">
        <v>277</v>
      </c>
      <c r="T32" s="28" t="s">
        <v>181</v>
      </c>
      <c r="U32" s="28">
        <f t="shared" si="6"/>
        <v>9556.5</v>
      </c>
      <c r="V32" s="28">
        <f t="shared" si="7"/>
        <v>1246.5</v>
      </c>
      <c r="W32" s="28">
        <f t="shared" si="8"/>
        <v>8310</v>
      </c>
      <c r="X32" s="28">
        <v>30</v>
      </c>
      <c r="Y32" s="28">
        <v>277</v>
      </c>
      <c r="Z32" s="28" t="s">
        <v>181</v>
      </c>
      <c r="AA32" s="28">
        <f t="shared" si="1"/>
        <v>7963.75</v>
      </c>
      <c r="AB32" s="28">
        <f t="shared" si="2"/>
        <v>1038.75</v>
      </c>
      <c r="AC32" s="28">
        <f t="shared" si="9"/>
        <v>6925</v>
      </c>
      <c r="AD32" s="28">
        <v>25</v>
      </c>
      <c r="AE32" s="28">
        <v>277</v>
      </c>
      <c r="AF32" s="28" t="s">
        <v>181</v>
      </c>
      <c r="AG32" s="20" t="s">
        <v>148</v>
      </c>
      <c r="AH32" s="28">
        <v>23</v>
      </c>
    </row>
    <row r="33" spans="14:34" ht="35.1" customHeight="1" thickBot="1">
      <c r="N33" s="39">
        <f t="shared" si="0"/>
        <v>8113.25</v>
      </c>
      <c r="O33" s="28">
        <f t="shared" si="3"/>
        <v>2863.5</v>
      </c>
      <c r="P33" s="28">
        <f t="shared" si="4"/>
        <v>373.5</v>
      </c>
      <c r="Q33" s="28">
        <f t="shared" si="5"/>
        <v>2490</v>
      </c>
      <c r="R33" s="28">
        <v>30</v>
      </c>
      <c r="S33" s="28">
        <v>83</v>
      </c>
      <c r="T33" s="28" t="s">
        <v>181</v>
      </c>
      <c r="U33" s="28">
        <f t="shared" si="6"/>
        <v>2863.5</v>
      </c>
      <c r="V33" s="28">
        <f t="shared" si="7"/>
        <v>373.5</v>
      </c>
      <c r="W33" s="28">
        <f t="shared" si="8"/>
        <v>2490</v>
      </c>
      <c r="X33" s="28">
        <v>30</v>
      </c>
      <c r="Y33" s="28">
        <v>83</v>
      </c>
      <c r="Z33" s="28" t="s">
        <v>181</v>
      </c>
      <c r="AA33" s="28">
        <f t="shared" si="1"/>
        <v>2386.25</v>
      </c>
      <c r="AB33" s="28">
        <f t="shared" si="2"/>
        <v>311.25</v>
      </c>
      <c r="AC33" s="28">
        <f t="shared" si="9"/>
        <v>2075</v>
      </c>
      <c r="AD33" s="28">
        <v>25</v>
      </c>
      <c r="AE33" s="28">
        <v>83</v>
      </c>
      <c r="AF33" s="28" t="s">
        <v>181</v>
      </c>
      <c r="AG33" s="20" t="s">
        <v>149</v>
      </c>
      <c r="AH33" s="28">
        <v>24</v>
      </c>
    </row>
    <row r="34" spans="14:34" ht="35.1" customHeight="1" thickBot="1">
      <c r="N34" s="39">
        <f t="shared" si="0"/>
        <v>2346</v>
      </c>
      <c r="O34" s="28">
        <f t="shared" si="3"/>
        <v>782</v>
      </c>
      <c r="P34" s="28">
        <f t="shared" si="4"/>
        <v>102</v>
      </c>
      <c r="Q34" s="28">
        <f t="shared" si="5"/>
        <v>680</v>
      </c>
      <c r="R34" s="28">
        <v>20</v>
      </c>
      <c r="S34" s="28">
        <v>34</v>
      </c>
      <c r="T34" s="28" t="s">
        <v>181</v>
      </c>
      <c r="U34" s="28">
        <f t="shared" si="6"/>
        <v>782</v>
      </c>
      <c r="V34" s="28">
        <f t="shared" si="7"/>
        <v>102</v>
      </c>
      <c r="W34" s="28">
        <f t="shared" si="8"/>
        <v>680</v>
      </c>
      <c r="X34" s="28">
        <v>20</v>
      </c>
      <c r="Y34" s="28">
        <v>34</v>
      </c>
      <c r="Z34" s="28" t="s">
        <v>181</v>
      </c>
      <c r="AA34" s="28">
        <f t="shared" si="1"/>
        <v>782</v>
      </c>
      <c r="AB34" s="28">
        <f t="shared" si="2"/>
        <v>102</v>
      </c>
      <c r="AC34" s="28">
        <f t="shared" si="9"/>
        <v>680</v>
      </c>
      <c r="AD34" s="28">
        <v>20</v>
      </c>
      <c r="AE34" s="28">
        <v>34</v>
      </c>
      <c r="AF34" s="28" t="s">
        <v>181</v>
      </c>
      <c r="AG34" s="20" t="s">
        <v>150</v>
      </c>
      <c r="AH34" s="28">
        <v>25</v>
      </c>
    </row>
    <row r="35" spans="14:34" ht="35.1" customHeight="1" thickBot="1">
      <c r="N35" s="39">
        <f t="shared" si="0"/>
        <v>24253.5</v>
      </c>
      <c r="O35" s="28">
        <f t="shared" si="3"/>
        <v>8935.5</v>
      </c>
      <c r="P35" s="28">
        <f t="shared" si="4"/>
        <v>1165.5</v>
      </c>
      <c r="Q35" s="28">
        <f t="shared" si="5"/>
        <v>7770</v>
      </c>
      <c r="R35" s="28">
        <v>35</v>
      </c>
      <c r="S35" s="28">
        <v>222</v>
      </c>
      <c r="T35" s="28" t="s">
        <v>181</v>
      </c>
      <c r="U35" s="28">
        <f t="shared" si="6"/>
        <v>8935.5</v>
      </c>
      <c r="V35" s="28">
        <f t="shared" si="7"/>
        <v>1165.5</v>
      </c>
      <c r="W35" s="28">
        <f t="shared" si="8"/>
        <v>7770</v>
      </c>
      <c r="X35" s="28">
        <v>35</v>
      </c>
      <c r="Y35" s="28">
        <v>222</v>
      </c>
      <c r="Z35" s="28" t="s">
        <v>181</v>
      </c>
      <c r="AA35" s="28">
        <f t="shared" si="1"/>
        <v>6382.5</v>
      </c>
      <c r="AB35" s="28">
        <f t="shared" si="2"/>
        <v>832.5</v>
      </c>
      <c r="AC35" s="28">
        <f t="shared" si="9"/>
        <v>5550</v>
      </c>
      <c r="AD35" s="28">
        <v>25</v>
      </c>
      <c r="AE35" s="28">
        <v>222</v>
      </c>
      <c r="AF35" s="28" t="s">
        <v>181</v>
      </c>
      <c r="AG35" s="20" t="s">
        <v>151</v>
      </c>
      <c r="AH35" s="28">
        <v>26</v>
      </c>
    </row>
    <row r="36" spans="14:34" ht="35.1" customHeight="1" thickBot="1">
      <c r="N36" s="39">
        <f t="shared" si="0"/>
        <v>15732</v>
      </c>
      <c r="O36" s="28">
        <f t="shared" si="3"/>
        <v>5796</v>
      </c>
      <c r="P36" s="28">
        <f t="shared" si="4"/>
        <v>756</v>
      </c>
      <c r="Q36" s="28">
        <f t="shared" si="5"/>
        <v>5040</v>
      </c>
      <c r="R36" s="28">
        <v>35</v>
      </c>
      <c r="S36" s="28">
        <v>144</v>
      </c>
      <c r="T36" s="28" t="s">
        <v>181</v>
      </c>
      <c r="U36" s="28">
        <f t="shared" si="6"/>
        <v>5796</v>
      </c>
      <c r="V36" s="28">
        <f t="shared" si="7"/>
        <v>756</v>
      </c>
      <c r="W36" s="28">
        <f t="shared" si="8"/>
        <v>5040</v>
      </c>
      <c r="X36" s="28">
        <v>35</v>
      </c>
      <c r="Y36" s="28">
        <v>144</v>
      </c>
      <c r="Z36" s="28" t="s">
        <v>181</v>
      </c>
      <c r="AA36" s="28">
        <f t="shared" si="1"/>
        <v>4140</v>
      </c>
      <c r="AB36" s="28">
        <f t="shared" si="2"/>
        <v>540</v>
      </c>
      <c r="AC36" s="28">
        <f t="shared" si="9"/>
        <v>3600</v>
      </c>
      <c r="AD36" s="28">
        <v>25</v>
      </c>
      <c r="AE36" s="28">
        <v>144</v>
      </c>
      <c r="AF36" s="28" t="s">
        <v>181</v>
      </c>
      <c r="AG36" s="20" t="s">
        <v>152</v>
      </c>
      <c r="AH36" s="28">
        <v>27</v>
      </c>
    </row>
    <row r="37" spans="14:34" ht="35.1" customHeight="1" thickBot="1">
      <c r="N37" s="39">
        <f t="shared" si="0"/>
        <v>5554.5</v>
      </c>
      <c r="O37" s="28">
        <f t="shared" si="3"/>
        <v>1932</v>
      </c>
      <c r="P37" s="28">
        <f t="shared" si="4"/>
        <v>252</v>
      </c>
      <c r="Q37" s="28">
        <f t="shared" si="5"/>
        <v>1680</v>
      </c>
      <c r="R37" s="28">
        <v>40</v>
      </c>
      <c r="S37" s="28">
        <v>42</v>
      </c>
      <c r="T37" s="28" t="s">
        <v>108</v>
      </c>
      <c r="U37" s="28">
        <f t="shared" si="6"/>
        <v>1932</v>
      </c>
      <c r="V37" s="28">
        <f t="shared" si="7"/>
        <v>252</v>
      </c>
      <c r="W37" s="28">
        <f t="shared" si="8"/>
        <v>1680</v>
      </c>
      <c r="X37" s="28">
        <v>40</v>
      </c>
      <c r="Y37" s="28">
        <v>42</v>
      </c>
      <c r="Z37" s="28" t="s">
        <v>108</v>
      </c>
      <c r="AA37" s="28">
        <f t="shared" si="1"/>
        <v>1690.5</v>
      </c>
      <c r="AB37" s="28">
        <f t="shared" si="2"/>
        <v>220.5</v>
      </c>
      <c r="AC37" s="28">
        <f t="shared" si="9"/>
        <v>1470</v>
      </c>
      <c r="AD37" s="28">
        <v>35</v>
      </c>
      <c r="AE37" s="28">
        <v>42</v>
      </c>
      <c r="AF37" s="28" t="s">
        <v>108</v>
      </c>
      <c r="AG37" s="20" t="s">
        <v>153</v>
      </c>
      <c r="AH37" s="28">
        <v>28</v>
      </c>
    </row>
    <row r="38" spans="14:34" ht="35.1" customHeight="1" thickBot="1">
      <c r="N38" s="39">
        <f t="shared" si="0"/>
        <v>329302.5</v>
      </c>
      <c r="O38" s="28">
        <f t="shared" si="3"/>
        <v>114540</v>
      </c>
      <c r="P38" s="28">
        <f t="shared" si="4"/>
        <v>14940</v>
      </c>
      <c r="Q38" s="28">
        <f t="shared" si="5"/>
        <v>99600</v>
      </c>
      <c r="R38" s="28">
        <v>400</v>
      </c>
      <c r="S38" s="28">
        <v>249</v>
      </c>
      <c r="T38" s="28" t="s">
        <v>155</v>
      </c>
      <c r="U38" s="28">
        <f t="shared" si="6"/>
        <v>114540</v>
      </c>
      <c r="V38" s="28">
        <f t="shared" si="7"/>
        <v>14940</v>
      </c>
      <c r="W38" s="28">
        <f t="shared" si="8"/>
        <v>99600</v>
      </c>
      <c r="X38" s="28">
        <v>400</v>
      </c>
      <c r="Y38" s="28">
        <v>249</v>
      </c>
      <c r="Z38" s="28" t="s">
        <v>155</v>
      </c>
      <c r="AA38" s="28">
        <f t="shared" si="1"/>
        <v>100222.5</v>
      </c>
      <c r="AB38" s="28">
        <f t="shared" si="2"/>
        <v>13072.5</v>
      </c>
      <c r="AC38" s="28">
        <f t="shared" si="9"/>
        <v>87150</v>
      </c>
      <c r="AD38" s="28">
        <v>350</v>
      </c>
      <c r="AE38" s="28">
        <v>249</v>
      </c>
      <c r="AF38" s="28" t="s">
        <v>155</v>
      </c>
      <c r="AG38" s="20" t="s">
        <v>154</v>
      </c>
      <c r="AH38" s="28">
        <v>29</v>
      </c>
    </row>
    <row r="39" spans="14:34" ht="35.1" customHeight="1" thickBot="1">
      <c r="N39" s="39">
        <f t="shared" si="0"/>
        <v>258750</v>
      </c>
      <c r="O39" s="28">
        <f t="shared" si="3"/>
        <v>71875</v>
      </c>
      <c r="P39" s="28">
        <f t="shared" si="4"/>
        <v>9375</v>
      </c>
      <c r="Q39" s="28">
        <f t="shared" si="5"/>
        <v>62500</v>
      </c>
      <c r="R39" s="28">
        <v>250</v>
      </c>
      <c r="S39" s="28">
        <v>250</v>
      </c>
      <c r="T39" s="28" t="s">
        <v>155</v>
      </c>
      <c r="U39" s="28">
        <f t="shared" si="6"/>
        <v>71875</v>
      </c>
      <c r="V39" s="28">
        <f t="shared" si="7"/>
        <v>9375</v>
      </c>
      <c r="W39" s="28">
        <f t="shared" si="8"/>
        <v>62500</v>
      </c>
      <c r="X39" s="28">
        <v>250</v>
      </c>
      <c r="Y39" s="28">
        <v>250</v>
      </c>
      <c r="Z39" s="28" t="s">
        <v>155</v>
      </c>
      <c r="AA39" s="28">
        <f t="shared" si="1"/>
        <v>115000</v>
      </c>
      <c r="AB39" s="28">
        <f t="shared" si="2"/>
        <v>15000</v>
      </c>
      <c r="AC39" s="28">
        <f t="shared" si="9"/>
        <v>100000</v>
      </c>
      <c r="AD39" s="28">
        <v>400</v>
      </c>
      <c r="AE39" s="28">
        <v>250</v>
      </c>
      <c r="AF39" s="28" t="s">
        <v>155</v>
      </c>
      <c r="AG39" s="20" t="s">
        <v>156</v>
      </c>
      <c r="AH39" s="28">
        <v>30</v>
      </c>
    </row>
    <row r="40" spans="14:34" ht="35.1" customHeight="1" thickBot="1">
      <c r="N40" s="39">
        <f t="shared" si="0"/>
        <v>158240</v>
      </c>
      <c r="O40" s="28">
        <f t="shared" si="3"/>
        <v>55384</v>
      </c>
      <c r="P40" s="28">
        <f t="shared" si="4"/>
        <v>7224</v>
      </c>
      <c r="Q40" s="28">
        <f t="shared" si="5"/>
        <v>48160</v>
      </c>
      <c r="R40" s="28">
        <v>70</v>
      </c>
      <c r="S40" s="28">
        <v>688</v>
      </c>
      <c r="T40" s="28" t="s">
        <v>155</v>
      </c>
      <c r="U40" s="28">
        <f t="shared" si="6"/>
        <v>55384</v>
      </c>
      <c r="V40" s="28">
        <f t="shared" si="7"/>
        <v>7224</v>
      </c>
      <c r="W40" s="28">
        <f t="shared" si="8"/>
        <v>48160</v>
      </c>
      <c r="X40" s="28">
        <v>70</v>
      </c>
      <c r="Y40" s="28">
        <v>688</v>
      </c>
      <c r="Z40" s="28" t="s">
        <v>155</v>
      </c>
      <c r="AA40" s="28">
        <f t="shared" si="1"/>
        <v>47472</v>
      </c>
      <c r="AB40" s="28">
        <f t="shared" si="2"/>
        <v>6192</v>
      </c>
      <c r="AC40" s="28">
        <f t="shared" si="9"/>
        <v>41280</v>
      </c>
      <c r="AD40" s="28">
        <v>60</v>
      </c>
      <c r="AE40" s="28">
        <v>688</v>
      </c>
      <c r="AF40" s="28" t="s">
        <v>155</v>
      </c>
      <c r="AG40" s="20" t="s">
        <v>157</v>
      </c>
      <c r="AH40" s="28">
        <v>31</v>
      </c>
    </row>
    <row r="41" spans="14:34" ht="35.1" customHeight="1" thickBot="1">
      <c r="N41" s="39">
        <f t="shared" si="0"/>
        <v>23736</v>
      </c>
      <c r="O41" s="28">
        <f t="shared" si="3"/>
        <v>8901</v>
      </c>
      <c r="P41" s="28">
        <f t="shared" si="4"/>
        <v>1161</v>
      </c>
      <c r="Q41" s="28">
        <f t="shared" si="5"/>
        <v>7740</v>
      </c>
      <c r="R41" s="28">
        <v>60</v>
      </c>
      <c r="S41" s="28">
        <v>129</v>
      </c>
      <c r="T41" s="28" t="s">
        <v>155</v>
      </c>
      <c r="U41" s="28">
        <f t="shared" si="6"/>
        <v>8901</v>
      </c>
      <c r="V41" s="28">
        <f t="shared" si="7"/>
        <v>1161</v>
      </c>
      <c r="W41" s="28">
        <f t="shared" si="8"/>
        <v>7740</v>
      </c>
      <c r="X41" s="28">
        <v>60</v>
      </c>
      <c r="Y41" s="28">
        <v>129</v>
      </c>
      <c r="Z41" s="28" t="s">
        <v>155</v>
      </c>
      <c r="AA41" s="28">
        <f t="shared" si="1"/>
        <v>5934</v>
      </c>
      <c r="AB41" s="28">
        <f t="shared" si="2"/>
        <v>774</v>
      </c>
      <c r="AC41" s="28">
        <f t="shared" si="9"/>
        <v>5160</v>
      </c>
      <c r="AD41" s="28">
        <v>40</v>
      </c>
      <c r="AE41" s="28">
        <v>129</v>
      </c>
      <c r="AF41" s="28" t="s">
        <v>155</v>
      </c>
      <c r="AG41" s="20" t="s">
        <v>158</v>
      </c>
      <c r="AH41" s="28">
        <v>32</v>
      </c>
    </row>
    <row r="42" spans="14:34" ht="35.1" customHeight="1" thickBot="1">
      <c r="N42" s="39">
        <f t="shared" ref="N42:N73" si="10">AA42+U42+O42</f>
        <v>724.5</v>
      </c>
      <c r="O42" s="28">
        <f t="shared" si="3"/>
        <v>241.5</v>
      </c>
      <c r="P42" s="28">
        <f t="shared" si="4"/>
        <v>31.5</v>
      </c>
      <c r="Q42" s="28">
        <f t="shared" si="5"/>
        <v>210</v>
      </c>
      <c r="R42" s="28">
        <v>5</v>
      </c>
      <c r="S42" s="28">
        <v>42</v>
      </c>
      <c r="T42" s="28" t="s">
        <v>155</v>
      </c>
      <c r="U42" s="28">
        <f t="shared" si="6"/>
        <v>241.5</v>
      </c>
      <c r="V42" s="28">
        <f t="shared" si="7"/>
        <v>31.5</v>
      </c>
      <c r="W42" s="28">
        <f t="shared" si="8"/>
        <v>210</v>
      </c>
      <c r="X42" s="28">
        <v>5</v>
      </c>
      <c r="Y42" s="28">
        <v>42</v>
      </c>
      <c r="Z42" s="28" t="s">
        <v>155</v>
      </c>
      <c r="AA42" s="28">
        <f t="shared" ref="AA42:AA73" si="11">AB42+AC42</f>
        <v>241.5</v>
      </c>
      <c r="AB42" s="28">
        <f t="shared" ref="AB42:AB73" si="12">AC42*0.15</f>
        <v>31.5</v>
      </c>
      <c r="AC42" s="28">
        <f t="shared" si="9"/>
        <v>210</v>
      </c>
      <c r="AD42" s="28">
        <v>5</v>
      </c>
      <c r="AE42" s="28">
        <v>42</v>
      </c>
      <c r="AF42" s="28" t="s">
        <v>155</v>
      </c>
      <c r="AG42" s="20" t="s">
        <v>159</v>
      </c>
      <c r="AH42" s="28">
        <v>33</v>
      </c>
    </row>
    <row r="43" spans="14:34" ht="35.1" customHeight="1" thickBot="1">
      <c r="N43" s="39">
        <f t="shared" si="10"/>
        <v>91338.75</v>
      </c>
      <c r="O43" s="28">
        <f t="shared" si="3"/>
        <v>30446.25</v>
      </c>
      <c r="P43" s="28">
        <f t="shared" si="4"/>
        <v>3971.25</v>
      </c>
      <c r="Q43" s="28">
        <f t="shared" si="5"/>
        <v>26475</v>
      </c>
      <c r="R43" s="28">
        <v>25</v>
      </c>
      <c r="S43" s="28">
        <v>1059</v>
      </c>
      <c r="T43" s="28" t="s">
        <v>155</v>
      </c>
      <c r="U43" s="28">
        <f t="shared" si="6"/>
        <v>30446.25</v>
      </c>
      <c r="V43" s="28">
        <f t="shared" si="7"/>
        <v>3971.25</v>
      </c>
      <c r="W43" s="28">
        <f t="shared" si="8"/>
        <v>26475</v>
      </c>
      <c r="X43" s="28">
        <v>25</v>
      </c>
      <c r="Y43" s="28">
        <v>1059</v>
      </c>
      <c r="Z43" s="28" t="s">
        <v>155</v>
      </c>
      <c r="AA43" s="28">
        <f t="shared" si="11"/>
        <v>30446.25</v>
      </c>
      <c r="AB43" s="28">
        <f t="shared" si="12"/>
        <v>3971.25</v>
      </c>
      <c r="AC43" s="28">
        <f t="shared" si="9"/>
        <v>26475</v>
      </c>
      <c r="AD43" s="28">
        <v>25</v>
      </c>
      <c r="AE43" s="28">
        <v>1059</v>
      </c>
      <c r="AF43" s="28" t="s">
        <v>155</v>
      </c>
      <c r="AG43" s="20" t="s">
        <v>160</v>
      </c>
      <c r="AH43" s="28">
        <v>34</v>
      </c>
    </row>
    <row r="44" spans="14:34" ht="35.1" customHeight="1" thickBot="1">
      <c r="N44" s="39">
        <f t="shared" si="10"/>
        <v>649060</v>
      </c>
      <c r="O44" s="28">
        <f t="shared" si="3"/>
        <v>238625</v>
      </c>
      <c r="P44" s="28">
        <f t="shared" si="4"/>
        <v>31125</v>
      </c>
      <c r="Q44" s="28">
        <f t="shared" si="5"/>
        <v>207500</v>
      </c>
      <c r="R44" s="28">
        <v>250</v>
      </c>
      <c r="S44" s="28">
        <v>830</v>
      </c>
      <c r="T44" s="28" t="s">
        <v>181</v>
      </c>
      <c r="U44" s="28">
        <f t="shared" si="6"/>
        <v>238625</v>
      </c>
      <c r="V44" s="28">
        <f t="shared" si="7"/>
        <v>31125</v>
      </c>
      <c r="W44" s="28">
        <f t="shared" si="8"/>
        <v>207500</v>
      </c>
      <c r="X44" s="28">
        <v>250</v>
      </c>
      <c r="Y44" s="28">
        <v>830</v>
      </c>
      <c r="Z44" s="28" t="s">
        <v>181</v>
      </c>
      <c r="AA44" s="28">
        <f t="shared" si="11"/>
        <v>171810</v>
      </c>
      <c r="AB44" s="28">
        <f t="shared" si="12"/>
        <v>22410</v>
      </c>
      <c r="AC44" s="28">
        <f t="shared" si="9"/>
        <v>149400</v>
      </c>
      <c r="AD44" s="28">
        <v>180</v>
      </c>
      <c r="AE44" s="28">
        <v>830</v>
      </c>
      <c r="AF44" s="28" t="s">
        <v>181</v>
      </c>
      <c r="AG44" s="20" t="s">
        <v>161</v>
      </c>
      <c r="AH44" s="28">
        <v>35</v>
      </c>
    </row>
    <row r="45" spans="14:34" ht="35.1" customHeight="1" thickBot="1">
      <c r="N45" s="39">
        <f t="shared" si="10"/>
        <v>2004450</v>
      </c>
      <c r="O45" s="28">
        <f t="shared" si="3"/>
        <v>763600</v>
      </c>
      <c r="P45" s="28">
        <f t="shared" si="4"/>
        <v>99600</v>
      </c>
      <c r="Q45" s="28">
        <f t="shared" si="5"/>
        <v>664000</v>
      </c>
      <c r="R45" s="28">
        <v>4000</v>
      </c>
      <c r="S45" s="28">
        <v>166</v>
      </c>
      <c r="T45" s="28" t="s">
        <v>163</v>
      </c>
      <c r="U45" s="28">
        <f t="shared" si="6"/>
        <v>763600</v>
      </c>
      <c r="V45" s="28">
        <f t="shared" si="7"/>
        <v>99600</v>
      </c>
      <c r="W45" s="28">
        <f t="shared" si="8"/>
        <v>664000</v>
      </c>
      <c r="X45" s="28">
        <v>4000</v>
      </c>
      <c r="Y45" s="28">
        <v>166</v>
      </c>
      <c r="Z45" s="28" t="s">
        <v>163</v>
      </c>
      <c r="AA45" s="28">
        <f t="shared" si="11"/>
        <v>477250</v>
      </c>
      <c r="AB45" s="28">
        <f t="shared" si="12"/>
        <v>62250</v>
      </c>
      <c r="AC45" s="28">
        <f t="shared" si="9"/>
        <v>415000</v>
      </c>
      <c r="AD45" s="28">
        <v>2500</v>
      </c>
      <c r="AE45" s="28">
        <v>166</v>
      </c>
      <c r="AF45" s="28" t="s">
        <v>163</v>
      </c>
      <c r="AG45" s="20" t="s">
        <v>162</v>
      </c>
      <c r="AH45" s="28">
        <v>36</v>
      </c>
    </row>
    <row r="46" spans="14:34" ht="35.1" customHeight="1" thickBot="1">
      <c r="N46" s="39">
        <f t="shared" si="10"/>
        <v>4260.75</v>
      </c>
      <c r="O46" s="28">
        <f t="shared" si="3"/>
        <v>1420.25</v>
      </c>
      <c r="P46" s="28">
        <f t="shared" si="4"/>
        <v>185.25</v>
      </c>
      <c r="Q46" s="28">
        <f t="shared" si="5"/>
        <v>1235</v>
      </c>
      <c r="R46" s="28">
        <v>5</v>
      </c>
      <c r="S46" s="28">
        <v>247</v>
      </c>
      <c r="T46" s="28" t="s">
        <v>165</v>
      </c>
      <c r="U46" s="28">
        <f t="shared" si="6"/>
        <v>1420.25</v>
      </c>
      <c r="V46" s="28">
        <f t="shared" si="7"/>
        <v>185.25</v>
      </c>
      <c r="W46" s="28">
        <f t="shared" si="8"/>
        <v>1235</v>
      </c>
      <c r="X46" s="28">
        <v>5</v>
      </c>
      <c r="Y46" s="28">
        <v>247</v>
      </c>
      <c r="Z46" s="28" t="s">
        <v>165</v>
      </c>
      <c r="AA46" s="28">
        <f t="shared" si="11"/>
        <v>1420.25</v>
      </c>
      <c r="AB46" s="28">
        <f t="shared" si="12"/>
        <v>185.25</v>
      </c>
      <c r="AC46" s="28">
        <f t="shared" si="9"/>
        <v>1235</v>
      </c>
      <c r="AD46" s="28">
        <v>5</v>
      </c>
      <c r="AE46" s="28">
        <v>247</v>
      </c>
      <c r="AF46" s="28" t="s">
        <v>165</v>
      </c>
      <c r="AG46" s="20" t="s">
        <v>164</v>
      </c>
      <c r="AH46" s="28">
        <v>37</v>
      </c>
    </row>
    <row r="47" spans="14:34" ht="35.1" customHeight="1" thickBot="1">
      <c r="N47" s="39">
        <f t="shared" si="10"/>
        <v>153410</v>
      </c>
      <c r="O47" s="28">
        <f t="shared" si="3"/>
        <v>53693.5</v>
      </c>
      <c r="P47" s="28">
        <f t="shared" si="4"/>
        <v>7003.5</v>
      </c>
      <c r="Q47" s="28">
        <f t="shared" si="5"/>
        <v>46690</v>
      </c>
      <c r="R47" s="28">
        <v>70</v>
      </c>
      <c r="S47" s="28">
        <v>667</v>
      </c>
      <c r="T47" s="28" t="s">
        <v>108</v>
      </c>
      <c r="U47" s="28">
        <f t="shared" si="6"/>
        <v>53693.5</v>
      </c>
      <c r="V47" s="28">
        <f t="shared" si="7"/>
        <v>7003.5</v>
      </c>
      <c r="W47" s="28">
        <f t="shared" si="8"/>
        <v>46690</v>
      </c>
      <c r="X47" s="28">
        <v>70</v>
      </c>
      <c r="Y47" s="28">
        <v>667</v>
      </c>
      <c r="Z47" s="28" t="s">
        <v>108</v>
      </c>
      <c r="AA47" s="28">
        <f t="shared" si="11"/>
        <v>46023</v>
      </c>
      <c r="AB47" s="28">
        <f t="shared" si="12"/>
        <v>6003</v>
      </c>
      <c r="AC47" s="28">
        <f t="shared" si="9"/>
        <v>40020</v>
      </c>
      <c r="AD47" s="28">
        <v>60</v>
      </c>
      <c r="AE47" s="28">
        <v>667</v>
      </c>
      <c r="AF47" s="28" t="s">
        <v>108</v>
      </c>
      <c r="AG47" s="20" t="s">
        <v>166</v>
      </c>
      <c r="AH47" s="28">
        <v>38</v>
      </c>
    </row>
    <row r="48" spans="14:34" ht="35.1" customHeight="1" thickBot="1">
      <c r="N48" s="39">
        <f t="shared" si="10"/>
        <v>334075</v>
      </c>
      <c r="O48" s="28">
        <f t="shared" si="3"/>
        <v>119312.5</v>
      </c>
      <c r="P48" s="28">
        <f t="shared" si="4"/>
        <v>15562.5</v>
      </c>
      <c r="Q48" s="28">
        <f t="shared" si="5"/>
        <v>103750</v>
      </c>
      <c r="R48" s="28">
        <v>250</v>
      </c>
      <c r="S48" s="28">
        <v>415</v>
      </c>
      <c r="T48" s="28" t="s">
        <v>168</v>
      </c>
      <c r="U48" s="28">
        <f t="shared" si="6"/>
        <v>119312.5</v>
      </c>
      <c r="V48" s="28">
        <f t="shared" si="7"/>
        <v>15562.5</v>
      </c>
      <c r="W48" s="28">
        <f t="shared" si="8"/>
        <v>103750</v>
      </c>
      <c r="X48" s="28">
        <v>250</v>
      </c>
      <c r="Y48" s="28">
        <v>415</v>
      </c>
      <c r="Z48" s="28" t="s">
        <v>168</v>
      </c>
      <c r="AA48" s="28">
        <f t="shared" si="11"/>
        <v>95450</v>
      </c>
      <c r="AB48" s="28">
        <f t="shared" si="12"/>
        <v>12450</v>
      </c>
      <c r="AC48" s="28">
        <f t="shared" si="9"/>
        <v>83000</v>
      </c>
      <c r="AD48" s="28">
        <v>200</v>
      </c>
      <c r="AE48" s="28">
        <v>415</v>
      </c>
      <c r="AF48" s="28" t="s">
        <v>168</v>
      </c>
      <c r="AG48" s="20" t="s">
        <v>167</v>
      </c>
      <c r="AH48" s="28">
        <v>39</v>
      </c>
    </row>
    <row r="49" spans="14:34" ht="35.1" customHeight="1" thickBot="1">
      <c r="N49" s="39">
        <f t="shared" si="10"/>
        <v>87975</v>
      </c>
      <c r="O49" s="28">
        <f t="shared" si="3"/>
        <v>29325</v>
      </c>
      <c r="P49" s="28">
        <f t="shared" si="4"/>
        <v>3825</v>
      </c>
      <c r="Q49" s="28">
        <f t="shared" si="5"/>
        <v>25500</v>
      </c>
      <c r="R49" s="28">
        <v>30</v>
      </c>
      <c r="S49" s="28">
        <v>850</v>
      </c>
      <c r="T49" s="28" t="s">
        <v>168</v>
      </c>
      <c r="U49" s="28">
        <f t="shared" si="6"/>
        <v>29325</v>
      </c>
      <c r="V49" s="28">
        <f t="shared" si="7"/>
        <v>3825</v>
      </c>
      <c r="W49" s="28">
        <f t="shared" si="8"/>
        <v>25500</v>
      </c>
      <c r="X49" s="28">
        <v>30</v>
      </c>
      <c r="Y49" s="28">
        <v>850</v>
      </c>
      <c r="Z49" s="28" t="s">
        <v>168</v>
      </c>
      <c r="AA49" s="28">
        <f t="shared" si="11"/>
        <v>29325</v>
      </c>
      <c r="AB49" s="28">
        <f t="shared" si="12"/>
        <v>3825</v>
      </c>
      <c r="AC49" s="28">
        <f t="shared" si="9"/>
        <v>25500</v>
      </c>
      <c r="AD49" s="28">
        <v>30</v>
      </c>
      <c r="AE49" s="28">
        <v>850</v>
      </c>
      <c r="AF49" s="28" t="s">
        <v>168</v>
      </c>
      <c r="AG49" s="20" t="s">
        <v>169</v>
      </c>
      <c r="AH49" s="28">
        <v>40</v>
      </c>
    </row>
    <row r="50" spans="14:34" ht="35.1" customHeight="1" thickBot="1">
      <c r="N50" s="39">
        <f t="shared" si="10"/>
        <v>667517.5</v>
      </c>
      <c r="O50" s="28">
        <f t="shared" si="3"/>
        <v>231063.75</v>
      </c>
      <c r="P50" s="28">
        <f t="shared" si="4"/>
        <v>30138.75</v>
      </c>
      <c r="Q50" s="28">
        <f t="shared" si="5"/>
        <v>200925</v>
      </c>
      <c r="R50" s="28">
        <v>45</v>
      </c>
      <c r="S50" s="28">
        <v>4465</v>
      </c>
      <c r="T50" s="28" t="s">
        <v>168</v>
      </c>
      <c r="U50" s="28">
        <f t="shared" si="6"/>
        <v>231063.75</v>
      </c>
      <c r="V50" s="28">
        <f t="shared" si="7"/>
        <v>30138.75</v>
      </c>
      <c r="W50" s="28">
        <f t="shared" si="8"/>
        <v>200925</v>
      </c>
      <c r="X50" s="28">
        <v>45</v>
      </c>
      <c r="Y50" s="28">
        <v>4465</v>
      </c>
      <c r="Z50" s="28" t="s">
        <v>168</v>
      </c>
      <c r="AA50" s="28">
        <f t="shared" si="11"/>
        <v>205390</v>
      </c>
      <c r="AB50" s="28">
        <f t="shared" si="12"/>
        <v>26790</v>
      </c>
      <c r="AC50" s="28">
        <f t="shared" si="9"/>
        <v>178600</v>
      </c>
      <c r="AD50" s="28">
        <v>40</v>
      </c>
      <c r="AE50" s="28">
        <v>4465</v>
      </c>
      <c r="AF50" s="28" t="s">
        <v>168</v>
      </c>
      <c r="AG50" s="20" t="s">
        <v>170</v>
      </c>
      <c r="AH50" s="28">
        <v>41</v>
      </c>
    </row>
    <row r="51" spans="14:34" ht="35.1" customHeight="1" thickBot="1">
      <c r="N51" s="39">
        <f t="shared" si="10"/>
        <v>364182</v>
      </c>
      <c r="O51" s="28">
        <f t="shared" si="3"/>
        <v>125580</v>
      </c>
      <c r="P51" s="28">
        <f t="shared" si="4"/>
        <v>16380</v>
      </c>
      <c r="Q51" s="28">
        <f t="shared" si="5"/>
        <v>109200</v>
      </c>
      <c r="R51" s="28">
        <v>100</v>
      </c>
      <c r="S51" s="28">
        <v>1092</v>
      </c>
      <c r="T51" s="28" t="s">
        <v>168</v>
      </c>
      <c r="U51" s="28">
        <f t="shared" si="6"/>
        <v>125580</v>
      </c>
      <c r="V51" s="28">
        <f t="shared" si="7"/>
        <v>16380</v>
      </c>
      <c r="W51" s="28">
        <f t="shared" si="8"/>
        <v>109200</v>
      </c>
      <c r="X51" s="28">
        <v>100</v>
      </c>
      <c r="Y51" s="28">
        <v>1092</v>
      </c>
      <c r="Z51" s="28" t="s">
        <v>168</v>
      </c>
      <c r="AA51" s="28">
        <f t="shared" si="11"/>
        <v>113022</v>
      </c>
      <c r="AB51" s="28">
        <f t="shared" si="12"/>
        <v>14742</v>
      </c>
      <c r="AC51" s="28">
        <f t="shared" si="9"/>
        <v>98280</v>
      </c>
      <c r="AD51" s="28">
        <v>90</v>
      </c>
      <c r="AE51" s="28">
        <v>1092</v>
      </c>
      <c r="AF51" s="28" t="s">
        <v>168</v>
      </c>
      <c r="AG51" s="20" t="s">
        <v>171</v>
      </c>
      <c r="AH51" s="28">
        <v>42</v>
      </c>
    </row>
    <row r="52" spans="14:34" ht="35.1" customHeight="1" thickBot="1">
      <c r="N52" s="39">
        <f t="shared" si="10"/>
        <v>3726</v>
      </c>
      <c r="O52" s="28">
        <f t="shared" si="3"/>
        <v>1242</v>
      </c>
      <c r="P52" s="28">
        <f t="shared" si="4"/>
        <v>162</v>
      </c>
      <c r="Q52" s="28">
        <f t="shared" si="5"/>
        <v>1080</v>
      </c>
      <c r="R52" s="28">
        <v>10</v>
      </c>
      <c r="S52" s="28">
        <v>108</v>
      </c>
      <c r="T52" s="28" t="s">
        <v>168</v>
      </c>
      <c r="U52" s="28">
        <f t="shared" si="6"/>
        <v>1242</v>
      </c>
      <c r="V52" s="28">
        <f t="shared" si="7"/>
        <v>162</v>
      </c>
      <c r="W52" s="28">
        <f t="shared" si="8"/>
        <v>1080</v>
      </c>
      <c r="X52" s="28">
        <v>10</v>
      </c>
      <c r="Y52" s="28">
        <v>108</v>
      </c>
      <c r="Z52" s="28" t="s">
        <v>168</v>
      </c>
      <c r="AA52" s="28">
        <f t="shared" si="11"/>
        <v>1242</v>
      </c>
      <c r="AB52" s="28">
        <f t="shared" si="12"/>
        <v>162</v>
      </c>
      <c r="AC52" s="28">
        <f t="shared" si="9"/>
        <v>1080</v>
      </c>
      <c r="AD52" s="28">
        <v>10</v>
      </c>
      <c r="AE52" s="28">
        <v>108</v>
      </c>
      <c r="AF52" s="28" t="s">
        <v>168</v>
      </c>
      <c r="AG52" s="20" t="s">
        <v>172</v>
      </c>
      <c r="AH52" s="28">
        <v>43</v>
      </c>
    </row>
    <row r="53" spans="14:34" ht="35.1" customHeight="1" thickBot="1">
      <c r="N53" s="39">
        <f t="shared" si="10"/>
        <v>357937.5</v>
      </c>
      <c r="O53" s="28">
        <f t="shared" si="3"/>
        <v>119312.5</v>
      </c>
      <c r="P53" s="28">
        <f t="shared" si="4"/>
        <v>15562.5</v>
      </c>
      <c r="Q53" s="28">
        <f t="shared" si="5"/>
        <v>103750</v>
      </c>
      <c r="R53" s="28">
        <v>25</v>
      </c>
      <c r="S53" s="28">
        <v>4150</v>
      </c>
      <c r="T53" s="28" t="s">
        <v>108</v>
      </c>
      <c r="U53" s="28">
        <f t="shared" si="6"/>
        <v>119312.5</v>
      </c>
      <c r="V53" s="28">
        <f t="shared" si="7"/>
        <v>15562.5</v>
      </c>
      <c r="W53" s="28">
        <f t="shared" si="8"/>
        <v>103750</v>
      </c>
      <c r="X53" s="28">
        <v>25</v>
      </c>
      <c r="Y53" s="28">
        <v>4150</v>
      </c>
      <c r="Z53" s="28" t="s">
        <v>108</v>
      </c>
      <c r="AA53" s="28">
        <f t="shared" si="11"/>
        <v>119312.5</v>
      </c>
      <c r="AB53" s="28">
        <f t="shared" si="12"/>
        <v>15562.5</v>
      </c>
      <c r="AC53" s="28">
        <f t="shared" si="9"/>
        <v>103750</v>
      </c>
      <c r="AD53" s="28">
        <v>25</v>
      </c>
      <c r="AE53" s="28">
        <v>4150</v>
      </c>
      <c r="AF53" s="28" t="s">
        <v>108</v>
      </c>
      <c r="AG53" s="20" t="s">
        <v>173</v>
      </c>
      <c r="AH53" s="28">
        <v>44</v>
      </c>
    </row>
    <row r="54" spans="14:34" ht="35.1" customHeight="1" thickBot="1">
      <c r="N54" s="39">
        <f t="shared" si="10"/>
        <v>158810.4</v>
      </c>
      <c r="O54" s="28">
        <f t="shared" si="3"/>
        <v>50416</v>
      </c>
      <c r="P54" s="28">
        <f t="shared" si="4"/>
        <v>6576</v>
      </c>
      <c r="Q54" s="28">
        <f t="shared" si="5"/>
        <v>43840</v>
      </c>
      <c r="R54" s="28">
        <v>20</v>
      </c>
      <c r="S54" s="28">
        <v>2192</v>
      </c>
      <c r="T54" s="28" t="s">
        <v>155</v>
      </c>
      <c r="U54" s="28">
        <f t="shared" si="6"/>
        <v>50416</v>
      </c>
      <c r="V54" s="28">
        <f t="shared" si="7"/>
        <v>6576</v>
      </c>
      <c r="W54" s="28">
        <f t="shared" si="8"/>
        <v>43840</v>
      </c>
      <c r="X54" s="28">
        <v>20</v>
      </c>
      <c r="Y54" s="28">
        <v>2192</v>
      </c>
      <c r="Z54" s="28" t="s">
        <v>155</v>
      </c>
      <c r="AA54" s="28">
        <f t="shared" si="11"/>
        <v>57978.400000000001</v>
      </c>
      <c r="AB54" s="28">
        <f t="shared" si="12"/>
        <v>7562.4</v>
      </c>
      <c r="AC54" s="28">
        <f t="shared" si="9"/>
        <v>50416</v>
      </c>
      <c r="AD54" s="28">
        <v>23</v>
      </c>
      <c r="AE54" s="28">
        <v>2192</v>
      </c>
      <c r="AF54" s="28" t="s">
        <v>155</v>
      </c>
      <c r="AG54" s="20" t="s">
        <v>174</v>
      </c>
      <c r="AH54" s="28">
        <v>45</v>
      </c>
    </row>
    <row r="55" spans="14:34" ht="35.1" customHeight="1" thickBot="1">
      <c r="N55" s="39">
        <f t="shared" si="10"/>
        <v>1991340</v>
      </c>
      <c r="O55" s="28">
        <f t="shared" si="3"/>
        <v>638250</v>
      </c>
      <c r="P55" s="28">
        <f t="shared" si="4"/>
        <v>83250</v>
      </c>
      <c r="Q55" s="28">
        <f t="shared" si="5"/>
        <v>555000</v>
      </c>
      <c r="R55" s="28">
        <v>25</v>
      </c>
      <c r="S55" s="28">
        <v>22200</v>
      </c>
      <c r="T55" s="28" t="s">
        <v>155</v>
      </c>
      <c r="U55" s="28">
        <f t="shared" si="6"/>
        <v>638250</v>
      </c>
      <c r="V55" s="28">
        <f t="shared" si="7"/>
        <v>83250</v>
      </c>
      <c r="W55" s="28">
        <f t="shared" si="8"/>
        <v>555000</v>
      </c>
      <c r="X55" s="28">
        <v>25</v>
      </c>
      <c r="Y55" s="28">
        <v>22200</v>
      </c>
      <c r="Z55" s="28" t="s">
        <v>155</v>
      </c>
      <c r="AA55" s="28">
        <f t="shared" si="11"/>
        <v>714840</v>
      </c>
      <c r="AB55" s="28">
        <f t="shared" si="12"/>
        <v>93240</v>
      </c>
      <c r="AC55" s="28">
        <f t="shared" si="9"/>
        <v>621600</v>
      </c>
      <c r="AD55" s="28">
        <v>28</v>
      </c>
      <c r="AE55" s="28">
        <v>22200</v>
      </c>
      <c r="AF55" s="28" t="s">
        <v>155</v>
      </c>
      <c r="AG55" s="20" t="s">
        <v>175</v>
      </c>
      <c r="AH55" s="28">
        <v>46</v>
      </c>
    </row>
    <row r="56" spans="14:34" ht="35.1" customHeight="1" thickBot="1">
      <c r="N56" s="39">
        <f t="shared" si="10"/>
        <v>1427092.5</v>
      </c>
      <c r="O56" s="28">
        <f t="shared" si="3"/>
        <v>475697.5</v>
      </c>
      <c r="P56" s="28">
        <f t="shared" si="4"/>
        <v>62047.5</v>
      </c>
      <c r="Q56" s="28">
        <f t="shared" si="5"/>
        <v>413650</v>
      </c>
      <c r="R56" s="28">
        <v>50</v>
      </c>
      <c r="S56" s="28">
        <v>8273</v>
      </c>
      <c r="T56" s="28" t="s">
        <v>155</v>
      </c>
      <c r="U56" s="28">
        <f t="shared" si="6"/>
        <v>475697.5</v>
      </c>
      <c r="V56" s="28">
        <f t="shared" si="7"/>
        <v>62047.5</v>
      </c>
      <c r="W56" s="28">
        <f t="shared" si="8"/>
        <v>413650</v>
      </c>
      <c r="X56" s="28">
        <v>50</v>
      </c>
      <c r="Y56" s="28">
        <v>8273</v>
      </c>
      <c r="Z56" s="28" t="s">
        <v>155</v>
      </c>
      <c r="AA56" s="28">
        <f t="shared" si="11"/>
        <v>475697.5</v>
      </c>
      <c r="AB56" s="28">
        <f t="shared" si="12"/>
        <v>62047.5</v>
      </c>
      <c r="AC56" s="28">
        <f t="shared" si="9"/>
        <v>413650</v>
      </c>
      <c r="AD56" s="28">
        <v>50</v>
      </c>
      <c r="AE56" s="28">
        <v>8273</v>
      </c>
      <c r="AF56" s="28" t="s">
        <v>155</v>
      </c>
      <c r="AG56" s="20" t="s">
        <v>176</v>
      </c>
      <c r="AH56" s="28">
        <v>47</v>
      </c>
    </row>
    <row r="57" spans="14:34" ht="35.1" customHeight="1" thickBot="1">
      <c r="N57" s="39">
        <f t="shared" si="10"/>
        <v>23960.25</v>
      </c>
      <c r="O57" s="28">
        <f t="shared" si="3"/>
        <v>7986.75</v>
      </c>
      <c r="P57" s="28">
        <f t="shared" si="4"/>
        <v>1041.75</v>
      </c>
      <c r="Q57" s="28">
        <f t="shared" si="5"/>
        <v>6945</v>
      </c>
      <c r="R57" s="28">
        <v>15</v>
      </c>
      <c r="S57" s="28">
        <v>463</v>
      </c>
      <c r="T57" s="28" t="s">
        <v>155</v>
      </c>
      <c r="U57" s="28">
        <f t="shared" si="6"/>
        <v>7986.75</v>
      </c>
      <c r="V57" s="28">
        <f t="shared" si="7"/>
        <v>1041.75</v>
      </c>
      <c r="W57" s="28">
        <f t="shared" si="8"/>
        <v>6945</v>
      </c>
      <c r="X57" s="28">
        <v>15</v>
      </c>
      <c r="Y57" s="28">
        <v>463</v>
      </c>
      <c r="Z57" s="28" t="s">
        <v>155</v>
      </c>
      <c r="AA57" s="28">
        <f t="shared" si="11"/>
        <v>7986.75</v>
      </c>
      <c r="AB57" s="28">
        <f t="shared" si="12"/>
        <v>1041.75</v>
      </c>
      <c r="AC57" s="28">
        <f t="shared" si="9"/>
        <v>6945</v>
      </c>
      <c r="AD57" s="28">
        <v>15</v>
      </c>
      <c r="AE57" s="28">
        <v>463</v>
      </c>
      <c r="AF57" s="28" t="s">
        <v>155</v>
      </c>
      <c r="AG57" s="20" t="s">
        <v>177</v>
      </c>
      <c r="AH57" s="28">
        <v>48</v>
      </c>
    </row>
    <row r="58" spans="14:34" ht="35.1" customHeight="1" thickBot="1">
      <c r="N58" s="39">
        <f t="shared" si="10"/>
        <v>54883.75</v>
      </c>
      <c r="O58" s="28">
        <f t="shared" si="3"/>
        <v>19090</v>
      </c>
      <c r="P58" s="28">
        <f t="shared" si="4"/>
        <v>2490</v>
      </c>
      <c r="Q58" s="28">
        <f t="shared" si="5"/>
        <v>16600</v>
      </c>
      <c r="R58" s="28">
        <v>40</v>
      </c>
      <c r="S58" s="28">
        <v>415</v>
      </c>
      <c r="T58" s="28" t="s">
        <v>155</v>
      </c>
      <c r="U58" s="28">
        <f t="shared" si="6"/>
        <v>19090</v>
      </c>
      <c r="V58" s="28">
        <f t="shared" si="7"/>
        <v>2490</v>
      </c>
      <c r="W58" s="28">
        <f t="shared" si="8"/>
        <v>16600</v>
      </c>
      <c r="X58" s="28">
        <v>40</v>
      </c>
      <c r="Y58" s="28">
        <v>415</v>
      </c>
      <c r="Z58" s="28" t="s">
        <v>155</v>
      </c>
      <c r="AA58" s="28">
        <f t="shared" si="11"/>
        <v>16703.75</v>
      </c>
      <c r="AB58" s="28">
        <f t="shared" si="12"/>
        <v>2178.75</v>
      </c>
      <c r="AC58" s="28">
        <f t="shared" si="9"/>
        <v>14525</v>
      </c>
      <c r="AD58" s="28">
        <v>35</v>
      </c>
      <c r="AE58" s="28">
        <v>415</v>
      </c>
      <c r="AF58" s="28" t="s">
        <v>155</v>
      </c>
      <c r="AG58" s="20" t="s">
        <v>178</v>
      </c>
      <c r="AH58" s="28">
        <v>49</v>
      </c>
    </row>
    <row r="59" spans="14:34" ht="35.1" customHeight="1" thickBot="1">
      <c r="N59" s="39">
        <f t="shared" si="10"/>
        <v>66815</v>
      </c>
      <c r="O59" s="28">
        <f t="shared" si="3"/>
        <v>23862.5</v>
      </c>
      <c r="P59" s="28">
        <f t="shared" si="4"/>
        <v>3112.5</v>
      </c>
      <c r="Q59" s="28">
        <f t="shared" si="5"/>
        <v>20750</v>
      </c>
      <c r="R59" s="28">
        <v>50</v>
      </c>
      <c r="S59" s="28">
        <v>415</v>
      </c>
      <c r="T59" s="28" t="s">
        <v>155</v>
      </c>
      <c r="U59" s="28">
        <f t="shared" si="6"/>
        <v>23862.5</v>
      </c>
      <c r="V59" s="28">
        <f t="shared" si="7"/>
        <v>3112.5</v>
      </c>
      <c r="W59" s="28">
        <f t="shared" si="8"/>
        <v>20750</v>
      </c>
      <c r="X59" s="28">
        <v>50</v>
      </c>
      <c r="Y59" s="28">
        <v>415</v>
      </c>
      <c r="Z59" s="28" t="s">
        <v>155</v>
      </c>
      <c r="AA59" s="28">
        <f t="shared" si="11"/>
        <v>19090</v>
      </c>
      <c r="AB59" s="28">
        <f t="shared" si="12"/>
        <v>2490</v>
      </c>
      <c r="AC59" s="28">
        <f t="shared" si="9"/>
        <v>16600</v>
      </c>
      <c r="AD59" s="28">
        <v>40</v>
      </c>
      <c r="AE59" s="28">
        <v>415</v>
      </c>
      <c r="AF59" s="28" t="s">
        <v>155</v>
      </c>
      <c r="AG59" s="20" t="s">
        <v>179</v>
      </c>
      <c r="AH59" s="28">
        <v>40</v>
      </c>
    </row>
    <row r="60" spans="14:34" ht="35.1" customHeight="1" thickBot="1">
      <c r="N60" s="39">
        <f t="shared" si="10"/>
        <v>104995</v>
      </c>
      <c r="O60" s="28">
        <f t="shared" si="3"/>
        <v>28635</v>
      </c>
      <c r="P60" s="28">
        <f t="shared" si="4"/>
        <v>3735</v>
      </c>
      <c r="Q60" s="28">
        <f t="shared" si="5"/>
        <v>24900</v>
      </c>
      <c r="R60" s="28">
        <v>60</v>
      </c>
      <c r="S60" s="28">
        <v>415</v>
      </c>
      <c r="T60" s="28" t="s">
        <v>155</v>
      </c>
      <c r="U60" s="28">
        <f t="shared" si="6"/>
        <v>28635</v>
      </c>
      <c r="V60" s="28">
        <f t="shared" si="7"/>
        <v>3735</v>
      </c>
      <c r="W60" s="28">
        <f t="shared" si="8"/>
        <v>24900</v>
      </c>
      <c r="X60" s="28">
        <v>60</v>
      </c>
      <c r="Y60" s="28">
        <v>415</v>
      </c>
      <c r="Z60" s="28" t="s">
        <v>155</v>
      </c>
      <c r="AA60" s="28">
        <f t="shared" si="11"/>
        <v>47725</v>
      </c>
      <c r="AB60" s="28">
        <f t="shared" si="12"/>
        <v>6225</v>
      </c>
      <c r="AC60" s="28">
        <f t="shared" si="9"/>
        <v>41500</v>
      </c>
      <c r="AD60" s="28">
        <v>100</v>
      </c>
      <c r="AE60" s="28">
        <v>415</v>
      </c>
      <c r="AF60" s="28" t="s">
        <v>155</v>
      </c>
      <c r="AG60" s="20" t="s">
        <v>180</v>
      </c>
      <c r="AH60" s="28">
        <v>41</v>
      </c>
    </row>
    <row r="61" spans="14:34" ht="13.5" hidden="1" customHeight="1" thickBot="1">
      <c r="N61" s="38">
        <f t="shared" si="10"/>
        <v>16927124.850000001</v>
      </c>
      <c r="O61" s="29">
        <f t="shared" si="3"/>
        <v>5721790.5</v>
      </c>
      <c r="P61" s="29">
        <f t="shared" si="4"/>
        <v>746320.5</v>
      </c>
      <c r="Q61" s="30">
        <f>SUM(Q10:Q60)</f>
        <v>4975470</v>
      </c>
      <c r="R61" s="30"/>
      <c r="S61" s="30"/>
      <c r="T61" s="31"/>
      <c r="U61" s="29">
        <f t="shared" si="6"/>
        <v>5722581.7000000002</v>
      </c>
      <c r="V61" s="29">
        <f t="shared" si="7"/>
        <v>746423.7</v>
      </c>
      <c r="W61" s="32">
        <f>SUM(W10:W60)</f>
        <v>4976158</v>
      </c>
      <c r="X61" s="30"/>
      <c r="Y61" s="30"/>
      <c r="Z61" s="31"/>
      <c r="AA61" s="33">
        <f>SUM(AA10:AA60)</f>
        <v>5482752.6500000004</v>
      </c>
      <c r="AB61" s="29">
        <f>SUM(AB10:AB60)</f>
        <v>715141.65</v>
      </c>
      <c r="AC61" s="37">
        <f>SUM(AC10:AC60)</f>
        <v>4767611</v>
      </c>
      <c r="AD61" s="37"/>
      <c r="AE61" s="37"/>
      <c r="AF61" s="36"/>
      <c r="AG61" s="24"/>
      <c r="AH61" s="31"/>
    </row>
    <row r="62" spans="14:34" ht="36" customHeight="1">
      <c r="N62" s="44">
        <f>AC61+W61+Q61</f>
        <v>14719239</v>
      </c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6"/>
      <c r="AG62" s="28" t="s">
        <v>114</v>
      </c>
    </row>
    <row r="63" spans="14:34" ht="27.75" customHeight="1">
      <c r="N63" s="44">
        <f>AB61+V61+P61</f>
        <v>2207885.85</v>
      </c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6"/>
      <c r="AG63" s="28" t="s">
        <v>113</v>
      </c>
    </row>
    <row r="64" spans="14:34" ht="39" customHeight="1">
      <c r="N64" s="44">
        <f>SUM(N10:N60)</f>
        <v>16927124.850000001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6"/>
      <c r="AG64" s="28" t="s">
        <v>182</v>
      </c>
    </row>
  </sheetData>
  <mergeCells count="9">
    <mergeCell ref="N6:AH6"/>
    <mergeCell ref="U7:Y7"/>
    <mergeCell ref="N62:AF62"/>
    <mergeCell ref="N63:AF63"/>
    <mergeCell ref="N64:AF64"/>
    <mergeCell ref="N8:N9"/>
    <mergeCell ref="O7:T7"/>
    <mergeCell ref="AA7:AF7"/>
    <mergeCell ref="AH7:AH9"/>
  </mergeCells>
  <dataValidations count="4">
    <dataValidation type="decimal" allowBlank="1" showInputMessage="1" showErrorMessage="1" error="الرجاء ادخال سعر الوحدة (الريال) رقم صحيح او كسر اكبر من صفر وبحد اقصي أربع ارقام بعد العلامه العشرية باللغة الانجليزية 0123456789" sqref="R65:R68" xr:uid="{335B0D20-580C-423D-9BA2-7A9DFB19455D}">
      <formula1>0</formula1>
      <formula2>1000000000</formula2>
    </dataValidation>
    <dataValidation type="decimal" allowBlank="1" showInputMessage="1" showErrorMessage="1" error="الرجاء ادخال الكمية رقم صحيح باللغة الانجليزية 0123456789" sqref="Y65:Y68 S10:S61 Y10:Y61 AE10:AE61 AE65:AE68" xr:uid="{253D0C3B-9B6A-406D-845D-80337C2EB17B}">
      <formula1>0</formula1>
      <formula2>1000000000</formula2>
    </dataValidation>
    <dataValidation type="textLength" operator="lessThan" allowBlank="1" showInputMessage="1" showErrorMessage="1" error="الرجاء ادخال نص وحدة القياس" sqref="T10:T61 Z10:Z61 AF10:AF61 AF65:AF68" xr:uid="{EC7C08A4-5B41-4DA7-8810-B38599CF5D8F}">
      <formula1>500</formula1>
    </dataValidation>
    <dataValidation type="textLength" operator="lessThan" allowBlank="1" showInputMessage="1" showErrorMessage="1" sqref="AG10:AG61 AG63:AG68" xr:uid="{AE5470F9-8FF7-47E7-9131-2B6173602AFB}">
      <formula1>500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1</vt:i4>
      </vt:variant>
    </vt:vector>
  </HeadingPairs>
  <TitlesOfParts>
    <vt:vector size="3" baseType="lpstr">
      <vt:lpstr>زيوت المحركات </vt:lpstr>
      <vt:lpstr>الطواري</vt:lpstr>
      <vt:lpstr>'زيوت المحركات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nawaf albishri</cp:lastModifiedBy>
  <dcterms:created xsi:type="dcterms:W3CDTF">2023-10-04T18:34:21Z</dcterms:created>
  <dcterms:modified xsi:type="dcterms:W3CDTF">2026-02-28T19:03:52Z</dcterms:modified>
</cp:coreProperties>
</file>