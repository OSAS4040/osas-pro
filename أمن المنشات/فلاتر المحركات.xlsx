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أمن المنشات/"/>
    </mc:Choice>
  </mc:AlternateContent>
  <xr:revisionPtr revIDLastSave="143" documentId="11_6E3063CF96FA17A44CF6F52FCD475DAAE16E513C" xr6:coauthVersionLast="47" xr6:coauthVersionMax="47" xr10:uidLastSave="{7ED10284-EF76-4BCB-9588-12231DEF9CF0}"/>
  <bookViews>
    <workbookView xWindow="-120" yWindow="-120" windowWidth="29040" windowHeight="15720" xr2:uid="{00000000-000D-0000-FFFF-FFFF00000000}"/>
  </bookViews>
  <sheets>
    <sheet name="ثالثا فلاتر زيوت المحركات ( الس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T3" i="1"/>
  <c r="Y3" i="1"/>
  <c r="O4" i="1"/>
  <c r="T4" i="1"/>
  <c r="Y4" i="1"/>
  <c r="O5" i="1"/>
  <c r="T5" i="1"/>
  <c r="Y5" i="1"/>
  <c r="O6" i="1"/>
  <c r="T6" i="1"/>
  <c r="Y6" i="1"/>
  <c r="O7" i="1"/>
  <c r="T7" i="1"/>
  <c r="Y7" i="1"/>
  <c r="O8" i="1"/>
  <c r="T8" i="1"/>
  <c r="Y8" i="1"/>
  <c r="O9" i="1"/>
  <c r="T9" i="1"/>
  <c r="Y9" i="1"/>
  <c r="O10" i="1"/>
  <c r="T10" i="1"/>
  <c r="Y10" i="1"/>
  <c r="O11" i="1"/>
  <c r="T11" i="1"/>
  <c r="Y11" i="1"/>
  <c r="O12" i="1"/>
  <c r="T12" i="1"/>
  <c r="Y12" i="1"/>
  <c r="O13" i="1"/>
  <c r="T13" i="1"/>
  <c r="Y13" i="1"/>
  <c r="O14" i="1"/>
  <c r="T14" i="1"/>
  <c r="Y14" i="1"/>
  <c r="O15" i="1"/>
  <c r="T15" i="1"/>
  <c r="Y15" i="1"/>
  <c r="O16" i="1"/>
  <c r="T16" i="1"/>
  <c r="Y16" i="1"/>
  <c r="O17" i="1"/>
  <c r="T17" i="1"/>
  <c r="Y17" i="1"/>
  <c r="O18" i="1"/>
  <c r="T18" i="1"/>
  <c r="Y18" i="1"/>
  <c r="O19" i="1"/>
  <c r="T19" i="1"/>
  <c r="Y19" i="1"/>
  <c r="O20" i="1"/>
  <c r="T20" i="1"/>
  <c r="Y20" i="1"/>
  <c r="O21" i="1"/>
  <c r="T21" i="1"/>
  <c r="Y21" i="1"/>
  <c r="O22" i="1"/>
  <c r="T22" i="1"/>
  <c r="Y22" i="1"/>
  <c r="O23" i="1"/>
  <c r="T23" i="1"/>
  <c r="Y23" i="1"/>
  <c r="O24" i="1"/>
  <c r="T24" i="1"/>
  <c r="Y24" i="1"/>
  <c r="O25" i="1"/>
  <c r="T25" i="1"/>
  <c r="Y25" i="1"/>
  <c r="O26" i="1"/>
  <c r="T26" i="1"/>
  <c r="Y26" i="1"/>
  <c r="O27" i="1"/>
  <c r="T27" i="1"/>
  <c r="Y27" i="1"/>
  <c r="O28" i="1"/>
  <c r="T28" i="1"/>
  <c r="Y28" i="1"/>
  <c r="O29" i="1"/>
  <c r="T29" i="1"/>
  <c r="Y29" i="1"/>
  <c r="O30" i="1"/>
  <c r="T30" i="1"/>
  <c r="Y30" i="1"/>
  <c r="O31" i="1"/>
  <c r="T31" i="1"/>
  <c r="Y31" i="1"/>
  <c r="O32" i="1"/>
  <c r="T32" i="1"/>
  <c r="Y32" i="1"/>
  <c r="O33" i="1"/>
  <c r="T33" i="1"/>
  <c r="Y33" i="1"/>
  <c r="O34" i="1"/>
  <c r="T34" i="1"/>
  <c r="Y34" i="1"/>
  <c r="O35" i="1"/>
  <c r="T35" i="1"/>
  <c r="Y35" i="1"/>
  <c r="O36" i="1"/>
  <c r="T36" i="1"/>
  <c r="Y36" i="1"/>
  <c r="O37" i="1"/>
  <c r="T37" i="1"/>
  <c r="Y37" i="1"/>
  <c r="O38" i="1"/>
  <c r="T38" i="1"/>
  <c r="Y38" i="1"/>
  <c r="O39" i="1"/>
  <c r="T39" i="1"/>
  <c r="Y39" i="1"/>
  <c r="O40" i="1"/>
  <c r="T40" i="1"/>
  <c r="Y40" i="1"/>
  <c r="O41" i="1"/>
  <c r="T41" i="1"/>
  <c r="Y41" i="1"/>
  <c r="O42" i="1"/>
  <c r="T42" i="1"/>
  <c r="Y42" i="1"/>
  <c r="O43" i="1"/>
  <c r="T43" i="1"/>
  <c r="Y43" i="1"/>
  <c r="O44" i="1"/>
  <c r="T44" i="1"/>
  <c r="Y44" i="1"/>
  <c r="O45" i="1"/>
  <c r="T45" i="1"/>
  <c r="Y45" i="1"/>
  <c r="O46" i="1"/>
  <c r="T46" i="1"/>
  <c r="Y46" i="1"/>
  <c r="O47" i="1"/>
  <c r="T47" i="1"/>
  <c r="Y47" i="1"/>
  <c r="O48" i="1"/>
  <c r="T48" i="1"/>
  <c r="Y48" i="1"/>
  <c r="O49" i="1"/>
  <c r="T49" i="1"/>
  <c r="Y49" i="1"/>
  <c r="O50" i="1"/>
  <c r="T50" i="1"/>
  <c r="Y50" i="1"/>
  <c r="O51" i="1"/>
  <c r="T51" i="1"/>
  <c r="Y51" i="1"/>
  <c r="O52" i="1"/>
  <c r="T52" i="1"/>
  <c r="Y52" i="1"/>
  <c r="O53" i="1"/>
  <c r="T53" i="1"/>
  <c r="Y53" i="1"/>
  <c r="O54" i="1"/>
  <c r="T54" i="1"/>
  <c r="Y54" i="1"/>
  <c r="O55" i="1"/>
  <c r="T55" i="1"/>
  <c r="Y55" i="1"/>
  <c r="O56" i="1"/>
  <c r="T56" i="1"/>
  <c r="Y56" i="1"/>
  <c r="O57" i="1"/>
  <c r="T57" i="1"/>
  <c r="Y57" i="1"/>
  <c r="O58" i="1"/>
  <c r="T58" i="1"/>
  <c r="Y58" i="1"/>
  <c r="O59" i="1"/>
  <c r="T59" i="1"/>
  <c r="Y59" i="1"/>
  <c r="O60" i="1"/>
  <c r="T60" i="1"/>
  <c r="Y60" i="1"/>
  <c r="O61" i="1"/>
  <c r="T61" i="1"/>
  <c r="Y61" i="1"/>
  <c r="O62" i="1"/>
  <c r="T62" i="1"/>
  <c r="Y62" i="1"/>
</calcChain>
</file>

<file path=xl/sharedStrings.xml><?xml version="1.0" encoding="utf-8"?>
<sst xmlns="http://schemas.openxmlformats.org/spreadsheetml/2006/main" count="1117" uniqueCount="429">
  <si>
    <t>السنة الاولى</t>
  </si>
  <si>
    <t>السنة الثانية</t>
  </si>
  <si>
    <t>السنة الثالثة</t>
  </si>
  <si>
    <t>الرقم التسلسلي</t>
  </si>
  <si>
    <t>الفئة</t>
  </si>
  <si>
    <t>البند</t>
  </si>
  <si>
    <t>وحدة القياس</t>
  </si>
  <si>
    <t>وصف البند</t>
  </si>
  <si>
    <t>المواصفات</t>
  </si>
  <si>
    <t>بلدالمنشأ</t>
  </si>
  <si>
    <t>منتج من القائمة الإلزامية</t>
  </si>
  <si>
    <t>الرمز الإنشائي</t>
  </si>
  <si>
    <t>حالة الصنف</t>
  </si>
  <si>
    <t>الكمية</t>
  </si>
  <si>
    <t>سعر الوحدة (الريال)</t>
  </si>
  <si>
    <t>نسبة الخصم للوحدة (%)</t>
  </si>
  <si>
    <t>نسبة ضريبة القيمة المضافة (%)</t>
  </si>
  <si>
    <t>إجمالى المبلغ رقماً (ريال)</t>
  </si>
  <si>
    <t>AW:آروبا</t>
  </si>
  <si>
    <t>AZ:أذربيجان</t>
  </si>
  <si>
    <t>AM:أرمينيا</t>
  </si>
  <si>
    <t>ES:أسبانيا</t>
  </si>
  <si>
    <t>AU:أستراليا</t>
  </si>
  <si>
    <t>AF:أفغانستان</t>
  </si>
  <si>
    <t>AL:ألبانيا</t>
  </si>
  <si>
    <t>DE:ألمانيا</t>
  </si>
  <si>
    <t>AG:أنتيجوا وبربودا</t>
  </si>
  <si>
    <t>AO:أنجولا</t>
  </si>
  <si>
    <t>AI:أنجويلا</t>
  </si>
  <si>
    <t>AD:أندورا</t>
  </si>
  <si>
    <t>UY:أورجواي</t>
  </si>
  <si>
    <t>UZ:أوزبكستان</t>
  </si>
  <si>
    <t>UG:أوغندا</t>
  </si>
  <si>
    <t>UA:أوكرانيا</t>
  </si>
  <si>
    <t>IE:أيرلندا</t>
  </si>
  <si>
    <t>IS:أيسلندا</t>
  </si>
  <si>
    <t>ET:اثيوبيا</t>
  </si>
  <si>
    <t>ER:اريتريا</t>
  </si>
  <si>
    <t>EE:استونيا</t>
  </si>
  <si>
    <t>PN:فلسطين</t>
  </si>
  <si>
    <t>AR:الأرجنتين</t>
  </si>
  <si>
    <t>JO:الأردن</t>
  </si>
  <si>
    <t>EC:الاكوادور</t>
  </si>
  <si>
    <t>BS:الباهاما</t>
  </si>
  <si>
    <t>BR:البرازيل</t>
  </si>
  <si>
    <t>PT:البرتغال</t>
  </si>
  <si>
    <t>BA:البوسنة والهرسك</t>
  </si>
  <si>
    <t>GA:الجابون</t>
  </si>
  <si>
    <t>ME:الجبل الأسود</t>
  </si>
  <si>
    <t>DZ:الجزائر</t>
  </si>
  <si>
    <t>DK:الدانمرك</t>
  </si>
  <si>
    <t>CV:الرأس الأخضر</t>
  </si>
  <si>
    <t>SV:السلفادور</t>
  </si>
  <si>
    <t>SN:السنغال</t>
  </si>
  <si>
    <t>SD:السودان</t>
  </si>
  <si>
    <t>SE:السويد</t>
  </si>
  <si>
    <t>EH:الصحراء الغربية</t>
  </si>
  <si>
    <t>SO:الصومال</t>
  </si>
  <si>
    <t>CN:الصين</t>
  </si>
  <si>
    <t>IQ:العراق</t>
  </si>
  <si>
    <t>VA:الفاتيكان</t>
  </si>
  <si>
    <t>PH:الفيلبين</t>
  </si>
  <si>
    <t>AQ:القطب الجنوبي</t>
  </si>
  <si>
    <t>CM:الكاميرون</t>
  </si>
  <si>
    <t>CG:الكونغو - برازافيل</t>
  </si>
  <si>
    <t>HU:المجر</t>
  </si>
  <si>
    <t>IO:المحيط الهندي البريطاني</t>
  </si>
  <si>
    <t>MA:المغرب</t>
  </si>
  <si>
    <t>TF:المقاطعات الجنوبية الفرنسية</t>
  </si>
  <si>
    <t>MX:المكسيك</t>
  </si>
  <si>
    <t>SA:المملكة العربية السعودية</t>
  </si>
  <si>
    <t>GB:المملكة المتحدة</t>
  </si>
  <si>
    <t>NO:النرويج</t>
  </si>
  <si>
    <t>AT:النمسا</t>
  </si>
  <si>
    <t>NE:النيجر</t>
  </si>
  <si>
    <t>IN:الهند</t>
  </si>
  <si>
    <t>US:الولايات المتحدة الأمريكية</t>
  </si>
  <si>
    <t>JP:اليابان</t>
  </si>
  <si>
    <t>YE:اليمن</t>
  </si>
  <si>
    <t>GR:اليونان</t>
  </si>
  <si>
    <t>ID:اندونيسيا</t>
  </si>
  <si>
    <t>IR:ايران</t>
  </si>
  <si>
    <t>IT:ايطاليا</t>
  </si>
  <si>
    <t>PG:بابوا غينيا الجديدة</t>
  </si>
  <si>
    <t>PY:باراجواي</t>
  </si>
  <si>
    <t>PK:باكستان</t>
  </si>
  <si>
    <t>PW:بالاو</t>
  </si>
  <si>
    <t>BW:بتسوانا</t>
  </si>
  <si>
    <t>PN:بتكايرن</t>
  </si>
  <si>
    <t>BB:بربادوس</t>
  </si>
  <si>
    <t>BM:برمودا</t>
  </si>
  <si>
    <t>BN:بروناي</t>
  </si>
  <si>
    <t>BE:بلجيكا</t>
  </si>
  <si>
    <t>BG:بلغاريا</t>
  </si>
  <si>
    <t>BZ:بليز</t>
  </si>
  <si>
    <t>BD:بنجلاديش</t>
  </si>
  <si>
    <t>PA:بنما</t>
  </si>
  <si>
    <t>BJ:بنين</t>
  </si>
  <si>
    <t>BT:بوتان</t>
  </si>
  <si>
    <t>PR:بورتوريكو</t>
  </si>
  <si>
    <t>BF:بوركينا فاسو</t>
  </si>
  <si>
    <t>BI:بوروندي</t>
  </si>
  <si>
    <t>PL:بولندا</t>
  </si>
  <si>
    <t>BO:بوليفيا</t>
  </si>
  <si>
    <t>PF:بولينيزيا الفرنسية</t>
  </si>
  <si>
    <t>PE:بيرو</t>
  </si>
  <si>
    <t>TZ:تانزانيا</t>
  </si>
  <si>
    <t>TH:تايلند</t>
  </si>
  <si>
    <t>TW:تايوان</t>
  </si>
  <si>
    <t>TM:تركمانستان</t>
  </si>
  <si>
    <t>TR:تركيا</t>
  </si>
  <si>
    <t>TT:ترينيداد وتوباغو</t>
  </si>
  <si>
    <t>TD:تشاد</t>
  </si>
  <si>
    <t>TG:توجو</t>
  </si>
  <si>
    <t>TV:توفالو</t>
  </si>
  <si>
    <t>TK:توكيلو</t>
  </si>
  <si>
    <t>TO:تونجا</t>
  </si>
  <si>
    <t>TN:تونس</t>
  </si>
  <si>
    <t>TL:تيمور الشرقية</t>
  </si>
  <si>
    <t>JM:جامايكا</t>
  </si>
  <si>
    <t>GI:جبل طارق</t>
  </si>
  <si>
    <t>GD:جرينادا</t>
  </si>
  <si>
    <t>GL:جرينلاند</t>
  </si>
  <si>
    <t>AX:جزر أولان</t>
  </si>
  <si>
    <t>AN:جزر الأنتيل الهولندية</t>
  </si>
  <si>
    <t>TC:جزر الترك وجايكوس</t>
  </si>
  <si>
    <t>KM:جزر القمر</t>
  </si>
  <si>
    <t>KY:جزر الكايمن</t>
  </si>
  <si>
    <t>MH:جزر المارشال</t>
  </si>
  <si>
    <t>MV:جزر الملديف</t>
  </si>
  <si>
    <t>UM:جزر الولايات المتحدة البعيدة الصغيرة</t>
  </si>
  <si>
    <t>SB:جزر سليمان</t>
  </si>
  <si>
    <t>FO:جزر فارو</t>
  </si>
  <si>
    <t>VI:جزر فرجين الأمريكية</t>
  </si>
  <si>
    <t>VG:جزر فرجين البريطانية</t>
  </si>
  <si>
    <t>FK:جزر فوكلاند</t>
  </si>
  <si>
    <t>CK:جزر كوك</t>
  </si>
  <si>
    <t>CC:جزر كوكوس</t>
  </si>
  <si>
    <t>MP:جزر ماريانا الشمالية</t>
  </si>
  <si>
    <t>WF:جزر والس وفوتونا</t>
  </si>
  <si>
    <t>CX:جزيرة الكريسماس</t>
  </si>
  <si>
    <t>BV:جزيرة بوفيه</t>
  </si>
  <si>
    <t>IM:جزيرة مان</t>
  </si>
  <si>
    <t>NF:جزيرة نورفوك</t>
  </si>
  <si>
    <t>HM:جزيرة هيرد وماكدونالد</t>
  </si>
  <si>
    <t>CF:جمهورية افريقيا الوسطى</t>
  </si>
  <si>
    <t>CZ:جمهورية التشيك</t>
  </si>
  <si>
    <t>DO:جمهورية الدومينيك</t>
  </si>
  <si>
    <t>CD:جمهورية الكونغو الديمقراطية</t>
  </si>
  <si>
    <t>ZA:جمهورية جنوب افريقيا</t>
  </si>
  <si>
    <t>GT:جواتيمالا</t>
  </si>
  <si>
    <t>GP:جوادلوب</t>
  </si>
  <si>
    <t>GU:جوام</t>
  </si>
  <si>
    <t>GE:جورجيا</t>
  </si>
  <si>
    <t>GS:جورجيا الجنوبية وجزر ساندويتش الجنوبية</t>
  </si>
  <si>
    <t>DJ:جيبوتي</t>
  </si>
  <si>
    <t>JE:جيرسي</t>
  </si>
  <si>
    <t>DM:دومينيكا</t>
  </si>
  <si>
    <t>RW:رواندا</t>
  </si>
  <si>
    <t>RU:روسيا</t>
  </si>
  <si>
    <t>BY:روسيا البيضاء</t>
  </si>
  <si>
    <t>RO:رومانيا</t>
  </si>
  <si>
    <t>RE:روينيون</t>
  </si>
  <si>
    <t>ZM:زامبيا</t>
  </si>
  <si>
    <t>ZW:زيمبابوي</t>
  </si>
  <si>
    <t>CI:ساحل العاج</t>
  </si>
  <si>
    <t>WS:ساموا</t>
  </si>
  <si>
    <t>AS:ساموا الأمريكية</t>
  </si>
  <si>
    <t>SM:سان مارينو</t>
  </si>
  <si>
    <t>PM:سانت بيير وميكولون</t>
  </si>
  <si>
    <t>VC:سانت فنسنت وغرنادين</t>
  </si>
  <si>
    <t>KN:سانت كيتس ونيفيس</t>
  </si>
  <si>
    <t>LC:سانت لوسيا</t>
  </si>
  <si>
    <t>MF:سانت مارتين</t>
  </si>
  <si>
    <t>SH:سانت هيلنا</t>
  </si>
  <si>
    <t>ST:ساو تومي وبرينسيبي</t>
  </si>
  <si>
    <t>LK:سريلانكا</t>
  </si>
  <si>
    <t>SJ:سفالبارد وجان مايان</t>
  </si>
  <si>
    <t>SK:سلوفاكيا</t>
  </si>
  <si>
    <t>SI:سلوفينيا</t>
  </si>
  <si>
    <t>SG:سنغافورة</t>
  </si>
  <si>
    <t>SZ:سوازيلاند</t>
  </si>
  <si>
    <t>SY:سوريا</t>
  </si>
  <si>
    <t>SR:سورينام</t>
  </si>
  <si>
    <t>CH:سويسرا</t>
  </si>
  <si>
    <t>SL:سيراليون</t>
  </si>
  <si>
    <t>SC:سيشل</t>
  </si>
  <si>
    <t>CL:شيلي</t>
  </si>
  <si>
    <t>RS:صربيا</t>
  </si>
  <si>
    <t>CS:صربيا والجبل الأسود</t>
  </si>
  <si>
    <t>TJ:طاجكستان</t>
  </si>
  <si>
    <t>GM:غامبيا</t>
  </si>
  <si>
    <t>GH:غانا</t>
  </si>
  <si>
    <t>GF:غويانا</t>
  </si>
  <si>
    <t>GY:غيانا</t>
  </si>
  <si>
    <t>GN:غينيا</t>
  </si>
  <si>
    <t>GQ:غينيا الاستوائية</t>
  </si>
  <si>
    <t>GW:غينيا بيساو</t>
  </si>
  <si>
    <t>VU:فانواتو</t>
  </si>
  <si>
    <t>FR:فرنسا</t>
  </si>
  <si>
    <t>PS:فلسطين</t>
  </si>
  <si>
    <t>VE:فنزويلا</t>
  </si>
  <si>
    <t>FI:فنلندا</t>
  </si>
  <si>
    <t>VN:فيتنام</t>
  </si>
  <si>
    <t>FJ:فيجي</t>
  </si>
  <si>
    <t>CY:قبرص</t>
  </si>
  <si>
    <t>KG:قرغيزستان</t>
  </si>
  <si>
    <t>KZ:كازاخستان</t>
  </si>
  <si>
    <t>NC:كاليدونيا الجديدة</t>
  </si>
  <si>
    <t>HR:كرواتيا</t>
  </si>
  <si>
    <t>KH:كمبوديا</t>
  </si>
  <si>
    <t>CA:كندا</t>
  </si>
  <si>
    <t>CU:كوبا</t>
  </si>
  <si>
    <t>KR:كوريا الجنوبية</t>
  </si>
  <si>
    <t>KP:كوريا الشمالية</t>
  </si>
  <si>
    <t>CR:كوستاريكا</t>
  </si>
  <si>
    <t>CO:كولومبيا</t>
  </si>
  <si>
    <t>KI:كيريباتي</t>
  </si>
  <si>
    <t>KE:كينيا</t>
  </si>
  <si>
    <t>LV:لاتفيا</t>
  </si>
  <si>
    <t>LA:لاوس</t>
  </si>
  <si>
    <t>LB:لبنان</t>
  </si>
  <si>
    <t>LU:لوكسمبورج</t>
  </si>
  <si>
    <t>LY:ليبيا</t>
  </si>
  <si>
    <t>LR:ليبيريا</t>
  </si>
  <si>
    <t>LT:ليتوانيا</t>
  </si>
  <si>
    <t>LI:ليختنشتاين</t>
  </si>
  <si>
    <t>LS:ليسوتو</t>
  </si>
  <si>
    <t>MQ:مارتينيك</t>
  </si>
  <si>
    <t>MO:ماكاو الصينية</t>
  </si>
  <si>
    <t>MT:مالطا</t>
  </si>
  <si>
    <t>ML:مالي</t>
  </si>
  <si>
    <t>MY:ماليزيا</t>
  </si>
  <si>
    <t>YT:مايوت</t>
  </si>
  <si>
    <t>MG:مدغشقر</t>
  </si>
  <si>
    <t>EG:مصر</t>
  </si>
  <si>
    <t>MK:مقدونيا</t>
  </si>
  <si>
    <t>MW:ملاوي</t>
  </si>
  <si>
    <t>ZZ:منطقة غير معرفة</t>
  </si>
  <si>
    <t>MN:منغوليا</t>
  </si>
  <si>
    <t>MR:موريتانيا</t>
  </si>
  <si>
    <t>MU:موريشيوس</t>
  </si>
  <si>
    <t>MZ:موزمبيق</t>
  </si>
  <si>
    <t>MD:مولدافيا</t>
  </si>
  <si>
    <t>MC:موناكو</t>
  </si>
  <si>
    <t>MS:مونتسرات</t>
  </si>
  <si>
    <t>MM:ميانمار</t>
  </si>
  <si>
    <t>FM:ميكرونيزيا</t>
  </si>
  <si>
    <t>NA:ناميبيا</t>
  </si>
  <si>
    <t>NR:نورو</t>
  </si>
  <si>
    <t>NP:نيبال</t>
  </si>
  <si>
    <t>NG:نيجيريا</t>
  </si>
  <si>
    <t>NI:نيكاراجوا</t>
  </si>
  <si>
    <t>NZ:نيوزيلاندا</t>
  </si>
  <si>
    <t>NU:نيوي</t>
  </si>
  <si>
    <t>HT:هايتي</t>
  </si>
  <si>
    <t>HN:هندوراس</t>
  </si>
  <si>
    <t>NL:هولندا</t>
  </si>
  <si>
    <t>HK:هونج كونج الصينية</t>
  </si>
  <si>
    <t>AE:الامارات العربية المتحدة</t>
  </si>
  <si>
    <t>BH:البحرين</t>
  </si>
  <si>
    <t>KW:الكويت</t>
  </si>
  <si>
    <t>OM:عمان</t>
  </si>
  <si>
    <t>QA:قطر</t>
  </si>
  <si>
    <t>غير متوفر</t>
  </si>
  <si>
    <t>متوفر</t>
  </si>
  <si>
    <t>مجاني</t>
  </si>
  <si>
    <t>0</t>
  </si>
  <si>
    <t>3</t>
  </si>
  <si>
    <t>6</t>
  </si>
  <si>
    <t>9</t>
  </si>
  <si>
    <t>15</t>
  </si>
  <si>
    <t>12</t>
  </si>
  <si>
    <t>18</t>
  </si>
  <si>
    <t>39</t>
  </si>
  <si>
    <t>33</t>
  </si>
  <si>
    <t>36</t>
  </si>
  <si>
    <t>45</t>
  </si>
  <si>
    <t>66</t>
  </si>
  <si>
    <t>51</t>
  </si>
  <si>
    <t>144</t>
  </si>
  <si>
    <t>63</t>
  </si>
  <si>
    <t>87</t>
  </si>
  <si>
    <t>285</t>
  </si>
  <si>
    <t>135</t>
  </si>
  <si>
    <t>123</t>
  </si>
  <si>
    <t>84</t>
  </si>
  <si>
    <t>102</t>
  </si>
  <si>
    <t>150</t>
  </si>
  <si>
    <t>183</t>
  </si>
  <si>
    <t>198</t>
  </si>
  <si>
    <t>216</t>
  </si>
  <si>
    <t>345</t>
  </si>
  <si>
    <t>168</t>
  </si>
  <si>
    <t>306</t>
  </si>
  <si>
    <t>381</t>
  </si>
  <si>
    <t>402</t>
  </si>
  <si>
    <t>444</t>
  </si>
  <si>
    <t>288</t>
  </si>
  <si>
    <t>249</t>
  </si>
  <si>
    <t>450</t>
  </si>
  <si>
    <t>327</t>
  </si>
  <si>
    <t>612</t>
  </si>
  <si>
    <t>312</t>
  </si>
  <si>
    <t>903</t>
  </si>
  <si>
    <t>1197</t>
  </si>
  <si>
    <t>3378</t>
  </si>
  <si>
    <t>4497</t>
  </si>
  <si>
    <t>بالعدد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</si>
  <si>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</si>
  <si>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</si>
  <si>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</si>
  <si>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</si>
  <si>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</si>
  <si>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</si>
  <si>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</si>
  <si>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</si>
  <si>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</si>
  <si>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50</t>
  </si>
  <si>
    <t>49</t>
  </si>
  <si>
    <t>48</t>
  </si>
  <si>
    <t>47</t>
  </si>
  <si>
    <t>46</t>
  </si>
  <si>
    <t>44</t>
  </si>
  <si>
    <t>43</t>
  </si>
  <si>
    <t>42</t>
  </si>
  <si>
    <t>41</t>
  </si>
  <si>
    <t>40</t>
  </si>
  <si>
    <t>38</t>
  </si>
  <si>
    <t>37</t>
  </si>
  <si>
    <t>35</t>
  </si>
  <si>
    <t>34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</si>
  <si>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</si>
  <si>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</si>
  <si>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</si>
  <si>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</si>
  <si>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</si>
  <si>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</si>
  <si>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</si>
  <si>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</si>
  <si>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</si>
  <si>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</si>
  <si>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</si>
  <si>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</si>
  <si>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</si>
  <si>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</si>
  <si>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17</t>
  </si>
  <si>
    <t>16</t>
  </si>
  <si>
    <t>14</t>
  </si>
  <si>
    <t>13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</si>
  <si>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</si>
  <si>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</si>
  <si>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</si>
  <si>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</si>
  <si>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</si>
  <si>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</si>
  <si>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</si>
  <si>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</si>
  <si>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</si>
  <si>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</si>
  <si>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</si>
  <si>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لا</t>
  </si>
  <si>
    <t>8</t>
  </si>
  <si>
    <t>7</t>
  </si>
  <si>
    <t>5</t>
  </si>
  <si>
    <t>4</t>
  </si>
  <si>
    <t>2</t>
  </si>
  <si>
    <t>1</t>
  </si>
  <si>
    <t>ميركوري فورد</t>
  </si>
  <si>
    <t>كورولا تويوتا</t>
  </si>
  <si>
    <t>دينا تويوتا</t>
  </si>
  <si>
    <t>اتش 1هيونداي</t>
  </si>
  <si>
    <t>فورد مدرعة</t>
  </si>
  <si>
    <t>شاحنة ميتسوبيشي</t>
  </si>
  <si>
    <t>راس فولفو</t>
  </si>
  <si>
    <t>حافلة ميتسوبيشي</t>
  </si>
  <si>
    <t>راس مرسيدس</t>
  </si>
  <si>
    <t>S600 مرسيدس</t>
  </si>
  <si>
    <t>فلتر سيرا جي ام</t>
  </si>
  <si>
    <t>فلتر رافعة شوكية ميتسوبيشي</t>
  </si>
  <si>
    <t>فلتر رافعة شوكية تويوتا</t>
  </si>
  <si>
    <t>فلتر شاحنة هيونداي</t>
  </si>
  <si>
    <t>فلتر باص مرسيدس 50 راكب</t>
  </si>
  <si>
    <t>فلتر دينا هيونداي</t>
  </si>
  <si>
    <t>فلتر النترا هيونداي</t>
  </si>
  <si>
    <t>فلتر سوبربان شفروليه</t>
  </si>
  <si>
    <t>فلتر ونيت فورد</t>
  </si>
  <si>
    <t>فلتر دراجة سوزوكي</t>
  </si>
  <si>
    <t>فلتر اوريون تويوتا</t>
  </si>
  <si>
    <t>فلتر فوكس فورد</t>
  </si>
  <si>
    <t>فلتر باص تويوتا</t>
  </si>
  <si>
    <t>فلتر بارتنر بيجو</t>
  </si>
  <si>
    <t>فلتر صني نيسان</t>
  </si>
  <si>
    <t>فلتر اكسبديشن فورد</t>
  </si>
  <si>
    <t>فلتر رافعة شوكية كات كتر بلر</t>
  </si>
  <si>
    <t>فلتر حافلة هيونداي</t>
  </si>
  <si>
    <t>فلتر اف 550 فورد</t>
  </si>
  <si>
    <t>فلتر بكب ايسوزو</t>
  </si>
  <si>
    <t>فلتر حافلة نيسان</t>
  </si>
  <si>
    <t>فلتر رام دوج</t>
  </si>
  <si>
    <t>فلتر اف 150 فورد</t>
  </si>
  <si>
    <t>فلتر دينا ميتسوبيشي</t>
  </si>
  <si>
    <t>فلتر باص نيسان</t>
  </si>
  <si>
    <t>فلتر شاحنة فولفو</t>
  </si>
  <si>
    <t>فلتر يوكن جي ام</t>
  </si>
  <si>
    <t>فلتر كامري تويوتا</t>
  </si>
  <si>
    <t>فلتر جيب سوزوكي</t>
  </si>
  <si>
    <t>فلتر شاحنة مرسيدس</t>
  </si>
  <si>
    <t>فلتر هايلوكس تويوتا</t>
  </si>
  <si>
    <t>فلتر سيدان بيجو</t>
  </si>
  <si>
    <t>فلتر بكب نيسان</t>
  </si>
  <si>
    <t>فلتر سفانا جي ام</t>
  </si>
  <si>
    <t>فلتر بوكسر بيجو</t>
  </si>
  <si>
    <t>فلتر امبالا شفروليه</t>
  </si>
  <si>
    <t>فلتر فكتوريا فورد</t>
  </si>
  <si>
    <t>فلتر لاند كروزر تويوتا</t>
  </si>
  <si>
    <t>فلتر شاحنة ايسوزو</t>
  </si>
  <si>
    <t>فلتر دينا ايسوزو</t>
  </si>
  <si>
    <t>فلتر تشارجر دوج</t>
  </si>
  <si>
    <t>فلتر درانقو دوج</t>
  </si>
  <si>
    <t>فلتر تاهو شفرولية</t>
  </si>
  <si>
    <t>فلتر تورس فورد</t>
  </si>
  <si>
    <t>فلتر التيما نيسان</t>
  </si>
  <si>
    <t>فلتر اكسبلور فورد</t>
  </si>
  <si>
    <t>فلتر شاص تويوتا</t>
  </si>
  <si>
    <t>فلتر  فورشنر تويوتا</t>
  </si>
  <si>
    <t>فلتر اف جي تويوتا</t>
  </si>
  <si>
    <t>فلتر ربع تويوتا</t>
  </si>
  <si>
    <t>فلتر زيت المحرك الإلتزام بكتالوج المركبة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</si>
</sst>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8657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J246"/>
  <sheetViews>
    <sheetView rightToLeft="1" tabSelected="1" zoomScale="120" zoomScaleNormal="120" workbookViewId="0">
      <selection activeCell="G36" sqref="G36"/>
    </sheetView>
  </sheetViews>
  <sheetFormatPr defaultRowHeight="15" x14ac:dyDescent="0.25"/>
  <cols>
    <col min="1" max="1" width="17.5703125" style="1" customWidth="1"/>
    <col min="2" max="2" width="6.42578125" style="1" customWidth="1"/>
    <col min="3" max="3" width="6.28515625" style="1" customWidth="1"/>
    <col min="4" max="4" width="12" style="1" customWidth="1"/>
    <col min="5" max="5" width="33.85546875" style="1" customWidth="1"/>
    <col min="6" max="6" width="43.5703125" style="1" customWidth="1"/>
    <col min="7" max="7" width="10.85546875" style="1" customWidth="1"/>
    <col min="8" max="8" width="24.140625" style="1" customWidth="1"/>
    <col min="9" max="9" width="14.42578125" style="1" customWidth="1"/>
    <col min="10" max="10" width="11.85546875" style="1" customWidth="1"/>
    <col min="11" max="11" width="7.28515625" style="1" customWidth="1"/>
    <col min="12" max="12" width="18.5703125" style="1" customWidth="1"/>
    <col min="13" max="13" width="23.28515625" style="1" customWidth="1"/>
    <col min="14" max="14" width="32.5703125" style="1" customWidth="1"/>
    <col min="15" max="15" width="24" style="1" customWidth="1"/>
    <col min="16" max="16" width="7.28515625" style="1" customWidth="1"/>
    <col min="17" max="17" width="18.5703125" style="1" customWidth="1"/>
    <col min="18" max="18" width="23.28515625" style="1" customWidth="1"/>
    <col min="19" max="19" width="32.5703125" style="1" customWidth="1"/>
    <col min="20" max="20" width="24" style="1" customWidth="1"/>
    <col min="21" max="21" width="7.28515625" style="1" customWidth="1"/>
    <col min="22" max="22" width="18.5703125" style="1" customWidth="1"/>
    <col min="23" max="23" width="23.28515625" style="1" customWidth="1"/>
    <col min="24" max="24" width="32.5703125" style="1" customWidth="1"/>
    <col min="25" max="25" width="24" style="1" customWidth="1"/>
    <col min="26" max="682" width="9.140625" style="1" customWidth="1"/>
    <col min="683" max="683" width="45.42578125" style="1" customWidth="1"/>
    <col min="684" max="685" width="9.140625" style="1" customWidth="1"/>
    <col min="686" max="686" width="11.28515625" style="1" customWidth="1"/>
    <col min="687" max="687" width="9.140625" style="1" customWidth="1"/>
    <col min="688" max="16384" width="9.140625" style="1"/>
  </cols>
  <sheetData>
    <row r="1" spans="1:686" x14ac:dyDescent="0.25">
      <c r="A1" s="2"/>
      <c r="B1" s="2"/>
      <c r="C1" s="2"/>
      <c r="D1" s="2"/>
      <c r="E1" s="2"/>
      <c r="F1" s="2"/>
      <c r="G1" s="3"/>
      <c r="H1" s="2"/>
      <c r="I1" s="2"/>
      <c r="J1" s="3"/>
      <c r="K1" s="10" t="s">
        <v>0</v>
      </c>
      <c r="L1" s="11"/>
      <c r="M1" s="11"/>
      <c r="N1" s="11"/>
      <c r="O1" s="12"/>
      <c r="P1" s="10" t="s">
        <v>1</v>
      </c>
      <c r="Q1" s="11"/>
      <c r="R1" s="11"/>
      <c r="S1" s="11"/>
      <c r="T1" s="12"/>
      <c r="U1" s="10" t="s">
        <v>2</v>
      </c>
      <c r="V1" s="11"/>
      <c r="W1" s="11"/>
      <c r="X1" s="11"/>
      <c r="Y1" s="12"/>
      <c r="ZG1" s="4" t="s">
        <v>18</v>
      </c>
      <c r="ZJ1" s="4" t="s">
        <v>264</v>
      </c>
    </row>
    <row r="2" spans="1:686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6" t="s">
        <v>9</v>
      </c>
      <c r="H2" s="5" t="s">
        <v>10</v>
      </c>
      <c r="I2" s="5" t="s">
        <v>11</v>
      </c>
      <c r="J2" s="6" t="s">
        <v>12</v>
      </c>
      <c r="K2" s="7" t="s">
        <v>13</v>
      </c>
      <c r="L2" s="8" t="s">
        <v>14</v>
      </c>
      <c r="M2" s="8" t="s">
        <v>15</v>
      </c>
      <c r="N2" s="8" t="s">
        <v>16</v>
      </c>
      <c r="O2" s="7" t="s">
        <v>17</v>
      </c>
      <c r="P2" s="7" t="s">
        <v>13</v>
      </c>
      <c r="Q2" s="8" t="s">
        <v>14</v>
      </c>
      <c r="R2" s="8" t="s">
        <v>15</v>
      </c>
      <c r="S2" s="8" t="s">
        <v>16</v>
      </c>
      <c r="T2" s="7" t="s">
        <v>17</v>
      </c>
      <c r="U2" s="7" t="s">
        <v>13</v>
      </c>
      <c r="V2" s="8" t="s">
        <v>14</v>
      </c>
      <c r="W2" s="8" t="s">
        <v>15</v>
      </c>
      <c r="X2" s="8" t="s">
        <v>16</v>
      </c>
      <c r="Y2" s="7" t="s">
        <v>17</v>
      </c>
      <c r="ZG2" s="4" t="s">
        <v>19</v>
      </c>
      <c r="ZJ2" s="4" t="s">
        <v>265</v>
      </c>
    </row>
    <row r="3" spans="1:686" x14ac:dyDescent="0.25">
      <c r="A3" s="1" t="s">
        <v>367</v>
      </c>
      <c r="C3" s="1" t="s">
        <v>360</v>
      </c>
      <c r="D3" s="1" t="s">
        <v>308</v>
      </c>
      <c r="E3" s="1" t="s">
        <v>427</v>
      </c>
      <c r="F3" s="1" t="s">
        <v>428</v>
      </c>
      <c r="G3" s="9" t="s">
        <v>77</v>
      </c>
      <c r="H3" s="1" t="s">
        <v>361</v>
      </c>
      <c r="J3" s="9" t="s">
        <v>265</v>
      </c>
      <c r="K3" s="1" t="s">
        <v>307</v>
      </c>
      <c r="L3" s="9">
        <v>33</v>
      </c>
      <c r="M3" s="9" t="s">
        <v>267</v>
      </c>
      <c r="N3" s="9">
        <v>15</v>
      </c>
      <c r="O3" s="1">
        <f t="shared" ref="O3:O34" si="0">(((L3*K3)-((L3*K3)*(M3/100)))+(((L3*K3)-((L3*K3)*(M3/100)))*N3/100))</f>
        <v>170661.15</v>
      </c>
      <c r="P3" s="1" t="s">
        <v>307</v>
      </c>
      <c r="Q3" s="9">
        <v>33</v>
      </c>
      <c r="R3" s="9" t="s">
        <v>267</v>
      </c>
      <c r="S3" s="9">
        <v>15</v>
      </c>
      <c r="T3" s="1">
        <f t="shared" ref="T3:T34" si="1">(((Q3*P3)-((Q3*P3)*(R3/100)))+(((Q3*P3)-((Q3*P3)*(R3/100)))*S3/100))</f>
        <v>170661.15</v>
      </c>
      <c r="U3" s="1" t="s">
        <v>307</v>
      </c>
      <c r="V3" s="9">
        <v>34</v>
      </c>
      <c r="W3" s="9" t="s">
        <v>267</v>
      </c>
      <c r="X3" s="9">
        <v>15</v>
      </c>
      <c r="Y3" s="1">
        <f t="shared" ref="Y3:Y34" si="2">(((V3*U3)-((V3*U3)*(W3/100)))+(((V3*U3)-((V3*U3)*(W3/100)))*X3/100))</f>
        <v>175832.7</v>
      </c>
      <c r="ZG3" s="4" t="s">
        <v>20</v>
      </c>
      <c r="ZJ3" s="4" t="s">
        <v>266</v>
      </c>
    </row>
    <row r="4" spans="1:686" x14ac:dyDescent="0.25">
      <c r="A4" s="1" t="s">
        <v>366</v>
      </c>
      <c r="C4" s="1" t="s">
        <v>359</v>
      </c>
      <c r="D4" s="1" t="s">
        <v>308</v>
      </c>
      <c r="E4" s="1" t="s">
        <v>426</v>
      </c>
      <c r="F4" s="1" t="s">
        <v>428</v>
      </c>
      <c r="G4" s="9" t="s">
        <v>77</v>
      </c>
      <c r="H4" s="1" t="s">
        <v>361</v>
      </c>
      <c r="J4" s="9" t="s">
        <v>265</v>
      </c>
      <c r="K4" s="1" t="s">
        <v>306</v>
      </c>
      <c r="L4" s="9">
        <v>50</v>
      </c>
      <c r="M4" s="9" t="s">
        <v>267</v>
      </c>
      <c r="N4" s="9">
        <v>15</v>
      </c>
      <c r="O4" s="1">
        <f t="shared" si="0"/>
        <v>194235</v>
      </c>
      <c r="P4" s="1" t="s">
        <v>306</v>
      </c>
      <c r="Q4" s="9">
        <v>50</v>
      </c>
      <c r="R4" s="9" t="s">
        <v>267</v>
      </c>
      <c r="S4" s="9">
        <v>15</v>
      </c>
      <c r="T4" s="1">
        <f t="shared" si="1"/>
        <v>194235</v>
      </c>
      <c r="U4" s="1" t="s">
        <v>306</v>
      </c>
      <c r="V4" s="9">
        <v>50</v>
      </c>
      <c r="W4" s="9" t="s">
        <v>267</v>
      </c>
      <c r="X4" s="9">
        <v>15</v>
      </c>
      <c r="Y4" s="1">
        <f t="shared" si="2"/>
        <v>194235</v>
      </c>
      <c r="ZG4" s="4" t="s">
        <v>21</v>
      </c>
    </row>
    <row r="5" spans="1:686" x14ac:dyDescent="0.25">
      <c r="A5" s="1" t="s">
        <v>268</v>
      </c>
      <c r="C5" s="1" t="s">
        <v>358</v>
      </c>
      <c r="D5" s="1" t="s">
        <v>308</v>
      </c>
      <c r="E5" s="1" t="s">
        <v>425</v>
      </c>
      <c r="F5" s="1" t="s">
        <v>428</v>
      </c>
      <c r="G5" s="9" t="s">
        <v>77</v>
      </c>
      <c r="H5" s="1" t="s">
        <v>361</v>
      </c>
      <c r="J5" s="9" t="s">
        <v>265</v>
      </c>
      <c r="K5" s="1" t="s">
        <v>305</v>
      </c>
      <c r="L5" s="9">
        <v>28</v>
      </c>
      <c r="M5" s="9" t="s">
        <v>267</v>
      </c>
      <c r="N5" s="9">
        <v>15</v>
      </c>
      <c r="O5" s="1">
        <f t="shared" si="0"/>
        <v>38543.4</v>
      </c>
      <c r="P5" s="1" t="s">
        <v>305</v>
      </c>
      <c r="Q5" s="9">
        <v>28</v>
      </c>
      <c r="R5" s="9" t="s">
        <v>267</v>
      </c>
      <c r="S5" s="9">
        <v>15</v>
      </c>
      <c r="T5" s="1">
        <f t="shared" si="1"/>
        <v>38543.4</v>
      </c>
      <c r="U5" s="1" t="s">
        <v>305</v>
      </c>
      <c r="V5" s="9">
        <v>28</v>
      </c>
      <c r="W5" s="9" t="s">
        <v>267</v>
      </c>
      <c r="X5" s="9">
        <v>15</v>
      </c>
      <c r="Y5" s="1">
        <f t="shared" si="2"/>
        <v>38543.4</v>
      </c>
      <c r="ZG5" s="4" t="s">
        <v>22</v>
      </c>
    </row>
    <row r="6" spans="1:686" x14ac:dyDescent="0.25">
      <c r="A6" s="1" t="s">
        <v>365</v>
      </c>
      <c r="C6" s="1" t="s">
        <v>357</v>
      </c>
      <c r="D6" s="1" t="s">
        <v>308</v>
      </c>
      <c r="E6" s="1" t="s">
        <v>424</v>
      </c>
      <c r="F6" s="1" t="s">
        <v>428</v>
      </c>
      <c r="G6" s="9" t="s">
        <v>77</v>
      </c>
      <c r="H6" s="1" t="s">
        <v>361</v>
      </c>
      <c r="J6" s="9" t="s">
        <v>265</v>
      </c>
      <c r="K6" s="1" t="s">
        <v>304</v>
      </c>
      <c r="L6" s="9">
        <v>28</v>
      </c>
      <c r="M6" s="9" t="s">
        <v>267</v>
      </c>
      <c r="N6" s="9">
        <v>15</v>
      </c>
      <c r="O6" s="1">
        <f t="shared" si="0"/>
        <v>29076.6</v>
      </c>
      <c r="P6" s="1" t="s">
        <v>304</v>
      </c>
      <c r="Q6" s="9">
        <v>28</v>
      </c>
      <c r="R6" s="9" t="s">
        <v>267</v>
      </c>
      <c r="S6" s="9">
        <v>15</v>
      </c>
      <c r="T6" s="1">
        <f t="shared" si="1"/>
        <v>29076.6</v>
      </c>
      <c r="U6" s="1" t="s">
        <v>304</v>
      </c>
      <c r="V6" s="9">
        <v>28</v>
      </c>
      <c r="W6" s="9" t="s">
        <v>267</v>
      </c>
      <c r="X6" s="9">
        <v>15</v>
      </c>
      <c r="Y6" s="1">
        <f t="shared" si="2"/>
        <v>29076.6</v>
      </c>
      <c r="ZG6" s="4" t="s">
        <v>23</v>
      </c>
    </row>
    <row r="7" spans="1:686" x14ac:dyDescent="0.25">
      <c r="A7" s="1" t="s">
        <v>364</v>
      </c>
      <c r="C7" s="1" t="s">
        <v>356</v>
      </c>
      <c r="D7" s="1" t="s">
        <v>308</v>
      </c>
      <c r="E7" s="1" t="s">
        <v>423</v>
      </c>
      <c r="F7" s="1" t="s">
        <v>428</v>
      </c>
      <c r="G7" s="9" t="s">
        <v>76</v>
      </c>
      <c r="H7" s="1" t="s">
        <v>361</v>
      </c>
      <c r="J7" s="9" t="s">
        <v>265</v>
      </c>
      <c r="K7" s="1" t="s">
        <v>303</v>
      </c>
      <c r="L7" s="9">
        <v>40</v>
      </c>
      <c r="M7" s="9" t="s">
        <v>267</v>
      </c>
      <c r="N7" s="9">
        <v>15</v>
      </c>
      <c r="O7" s="1">
        <f t="shared" si="0"/>
        <v>14352</v>
      </c>
      <c r="P7" s="1" t="s">
        <v>303</v>
      </c>
      <c r="Q7" s="9">
        <v>40</v>
      </c>
      <c r="R7" s="9" t="s">
        <v>267</v>
      </c>
      <c r="S7" s="9">
        <v>15</v>
      </c>
      <c r="T7" s="1">
        <f t="shared" si="1"/>
        <v>14352</v>
      </c>
      <c r="U7" s="1" t="s">
        <v>303</v>
      </c>
      <c r="V7" s="9">
        <v>40</v>
      </c>
      <c r="W7" s="9" t="s">
        <v>267</v>
      </c>
      <c r="X7" s="9">
        <v>15</v>
      </c>
      <c r="Y7" s="1">
        <f t="shared" si="2"/>
        <v>14352</v>
      </c>
      <c r="ZG7" s="4" t="s">
        <v>24</v>
      </c>
    </row>
    <row r="8" spans="1:686" x14ac:dyDescent="0.25">
      <c r="A8" s="1" t="s">
        <v>269</v>
      </c>
      <c r="C8" s="1" t="s">
        <v>355</v>
      </c>
      <c r="D8" s="1" t="s">
        <v>308</v>
      </c>
      <c r="E8" s="1" t="s">
        <v>422</v>
      </c>
      <c r="F8" s="1" t="s">
        <v>428</v>
      </c>
      <c r="G8" s="9" t="s">
        <v>77</v>
      </c>
      <c r="H8" s="1" t="s">
        <v>361</v>
      </c>
      <c r="J8" s="9" t="s">
        <v>265</v>
      </c>
      <c r="K8" s="1" t="s">
        <v>302</v>
      </c>
      <c r="L8" s="9">
        <v>39</v>
      </c>
      <c r="M8" s="9" t="s">
        <v>267</v>
      </c>
      <c r="N8" s="9">
        <v>15</v>
      </c>
      <c r="O8" s="1">
        <f t="shared" si="0"/>
        <v>27448.2</v>
      </c>
      <c r="P8" s="1" t="s">
        <v>302</v>
      </c>
      <c r="Q8" s="9">
        <v>39</v>
      </c>
      <c r="R8" s="9" t="s">
        <v>267</v>
      </c>
      <c r="S8" s="9">
        <v>15</v>
      </c>
      <c r="T8" s="1">
        <f t="shared" si="1"/>
        <v>27448.2</v>
      </c>
      <c r="U8" s="1" t="s">
        <v>302</v>
      </c>
      <c r="V8" s="9">
        <v>39</v>
      </c>
      <c r="W8" s="9" t="s">
        <v>267</v>
      </c>
      <c r="X8" s="9">
        <v>15</v>
      </c>
      <c r="Y8" s="1">
        <f t="shared" si="2"/>
        <v>27448.2</v>
      </c>
      <c r="ZG8" s="4" t="s">
        <v>25</v>
      </c>
    </row>
    <row r="9" spans="1:686" x14ac:dyDescent="0.25">
      <c r="A9" s="1" t="s">
        <v>363</v>
      </c>
      <c r="C9" s="1" t="s">
        <v>354</v>
      </c>
      <c r="D9" s="1" t="s">
        <v>308</v>
      </c>
      <c r="E9" s="1" t="s">
        <v>421</v>
      </c>
      <c r="F9" s="1" t="s">
        <v>428</v>
      </c>
      <c r="G9" s="9" t="s">
        <v>76</v>
      </c>
      <c r="H9" s="1" t="s">
        <v>361</v>
      </c>
      <c r="J9" s="9" t="s">
        <v>265</v>
      </c>
      <c r="K9" s="1" t="s">
        <v>301</v>
      </c>
      <c r="L9" s="9">
        <v>39</v>
      </c>
      <c r="M9" s="9" t="s">
        <v>267</v>
      </c>
      <c r="N9" s="9">
        <v>15</v>
      </c>
      <c r="O9" s="1">
        <f t="shared" si="0"/>
        <v>14665.95</v>
      </c>
      <c r="P9" s="1" t="s">
        <v>301</v>
      </c>
      <c r="Q9" s="9">
        <v>39</v>
      </c>
      <c r="R9" s="9" t="s">
        <v>267</v>
      </c>
      <c r="S9" s="9">
        <v>15</v>
      </c>
      <c r="T9" s="1">
        <f t="shared" si="1"/>
        <v>14665.95</v>
      </c>
      <c r="U9" s="1" t="s">
        <v>301</v>
      </c>
      <c r="V9" s="9">
        <v>39</v>
      </c>
      <c r="W9" s="9" t="s">
        <v>267</v>
      </c>
      <c r="X9" s="9">
        <v>15</v>
      </c>
      <c r="Y9" s="1">
        <f t="shared" si="2"/>
        <v>14665.95</v>
      </c>
      <c r="ZG9" s="4" t="s">
        <v>26</v>
      </c>
    </row>
    <row r="10" spans="1:686" x14ac:dyDescent="0.25">
      <c r="A10" s="1" t="s">
        <v>362</v>
      </c>
      <c r="C10" s="1" t="s">
        <v>353</v>
      </c>
      <c r="D10" s="1" t="s">
        <v>308</v>
      </c>
      <c r="E10" s="1" t="s">
        <v>420</v>
      </c>
      <c r="F10" s="1" t="s">
        <v>428</v>
      </c>
      <c r="G10" s="9" t="s">
        <v>76</v>
      </c>
      <c r="H10" s="1" t="s">
        <v>361</v>
      </c>
      <c r="J10" s="9" t="s">
        <v>265</v>
      </c>
      <c r="K10" s="1" t="s">
        <v>300</v>
      </c>
      <c r="L10" s="9">
        <v>39</v>
      </c>
      <c r="M10" s="9" t="s">
        <v>267</v>
      </c>
      <c r="N10" s="9">
        <v>15</v>
      </c>
      <c r="O10" s="1">
        <f t="shared" si="0"/>
        <v>20182.5</v>
      </c>
      <c r="P10" s="1" t="s">
        <v>300</v>
      </c>
      <c r="Q10" s="9">
        <v>39</v>
      </c>
      <c r="R10" s="9" t="s">
        <v>267</v>
      </c>
      <c r="S10" s="9">
        <v>15</v>
      </c>
      <c r="T10" s="1">
        <f t="shared" si="1"/>
        <v>20182.5</v>
      </c>
      <c r="U10" s="1" t="s">
        <v>300</v>
      </c>
      <c r="V10" s="9">
        <v>39</v>
      </c>
      <c r="W10" s="9" t="s">
        <v>267</v>
      </c>
      <c r="X10" s="9">
        <v>15</v>
      </c>
      <c r="Y10" s="1">
        <f t="shared" si="2"/>
        <v>20182.5</v>
      </c>
      <c r="ZG10" s="4" t="s">
        <v>27</v>
      </c>
    </row>
    <row r="11" spans="1:686" x14ac:dyDescent="0.25">
      <c r="A11" s="1" t="s">
        <v>270</v>
      </c>
      <c r="C11" s="1" t="s">
        <v>352</v>
      </c>
      <c r="D11" s="1" t="s">
        <v>308</v>
      </c>
      <c r="E11" s="1" t="s">
        <v>419</v>
      </c>
      <c r="F11" s="1" t="s">
        <v>428</v>
      </c>
      <c r="G11" s="9" t="s">
        <v>76</v>
      </c>
      <c r="H11" s="1" t="s">
        <v>361</v>
      </c>
      <c r="J11" s="9" t="s">
        <v>265</v>
      </c>
      <c r="K11" s="1" t="s">
        <v>299</v>
      </c>
      <c r="L11" s="9">
        <v>50</v>
      </c>
      <c r="M11" s="9" t="s">
        <v>267</v>
      </c>
      <c r="N11" s="9">
        <v>15</v>
      </c>
      <c r="O11" s="1">
        <f t="shared" si="0"/>
        <v>14317.5</v>
      </c>
      <c r="P11" s="1" t="s">
        <v>299</v>
      </c>
      <c r="Q11" s="9">
        <v>50</v>
      </c>
      <c r="R11" s="9" t="s">
        <v>267</v>
      </c>
      <c r="S11" s="9">
        <v>15</v>
      </c>
      <c r="T11" s="1">
        <f t="shared" si="1"/>
        <v>14317.5</v>
      </c>
      <c r="U11" s="1" t="s">
        <v>299</v>
      </c>
      <c r="V11" s="9">
        <v>50</v>
      </c>
      <c r="W11" s="9" t="s">
        <v>267</v>
      </c>
      <c r="X11" s="9">
        <v>15</v>
      </c>
      <c r="Y11" s="1">
        <f t="shared" si="2"/>
        <v>14317.5</v>
      </c>
      <c r="ZG11" s="4" t="s">
        <v>28</v>
      </c>
    </row>
    <row r="12" spans="1:686" x14ac:dyDescent="0.25">
      <c r="A12" s="1" t="s">
        <v>351</v>
      </c>
      <c r="C12" s="1" t="s">
        <v>351</v>
      </c>
      <c r="D12" s="1" t="s">
        <v>308</v>
      </c>
      <c r="E12" s="1" t="s">
        <v>418</v>
      </c>
      <c r="F12" s="1" t="s">
        <v>428</v>
      </c>
      <c r="G12" s="9" t="s">
        <v>76</v>
      </c>
      <c r="H12" s="1" t="s">
        <v>361</v>
      </c>
      <c r="J12" s="9" t="s">
        <v>265</v>
      </c>
      <c r="K12" s="1" t="s">
        <v>298</v>
      </c>
      <c r="L12" s="9">
        <v>50</v>
      </c>
      <c r="M12" s="9" t="s">
        <v>267</v>
      </c>
      <c r="N12" s="9">
        <v>15</v>
      </c>
      <c r="O12" s="1">
        <f t="shared" si="0"/>
        <v>16560</v>
      </c>
      <c r="P12" s="1" t="s">
        <v>298</v>
      </c>
      <c r="Q12" s="9">
        <v>50</v>
      </c>
      <c r="R12" s="9" t="s">
        <v>267</v>
      </c>
      <c r="S12" s="9">
        <v>15</v>
      </c>
      <c r="T12" s="1">
        <f t="shared" si="1"/>
        <v>16560</v>
      </c>
      <c r="U12" s="1" t="s">
        <v>298</v>
      </c>
      <c r="V12" s="9">
        <v>50</v>
      </c>
      <c r="W12" s="9" t="s">
        <v>267</v>
      </c>
      <c r="X12" s="9">
        <v>15</v>
      </c>
      <c r="Y12" s="1">
        <f t="shared" si="2"/>
        <v>16560</v>
      </c>
      <c r="ZG12" s="4" t="s">
        <v>29</v>
      </c>
    </row>
    <row r="13" spans="1:686" x14ac:dyDescent="0.25">
      <c r="A13" s="1" t="s">
        <v>350</v>
      </c>
      <c r="C13" s="1" t="s">
        <v>350</v>
      </c>
      <c r="D13" s="1" t="s">
        <v>308</v>
      </c>
      <c r="E13" s="1" t="s">
        <v>417</v>
      </c>
      <c r="F13" s="1" t="s">
        <v>428</v>
      </c>
      <c r="G13" s="9" t="s">
        <v>77</v>
      </c>
      <c r="H13" s="1" t="s">
        <v>361</v>
      </c>
      <c r="J13" s="9" t="s">
        <v>265</v>
      </c>
      <c r="K13" s="1" t="s">
        <v>297</v>
      </c>
      <c r="L13" s="9">
        <v>74</v>
      </c>
      <c r="M13" s="9" t="s">
        <v>267</v>
      </c>
      <c r="N13" s="9">
        <v>15</v>
      </c>
      <c r="O13" s="1">
        <f t="shared" si="0"/>
        <v>37784.400000000001</v>
      </c>
      <c r="P13" s="1" t="s">
        <v>297</v>
      </c>
      <c r="Q13" s="9">
        <v>74</v>
      </c>
      <c r="R13" s="9" t="s">
        <v>267</v>
      </c>
      <c r="S13" s="9">
        <v>15</v>
      </c>
      <c r="T13" s="1">
        <f t="shared" si="1"/>
        <v>37784.400000000001</v>
      </c>
      <c r="U13" s="1" t="s">
        <v>297</v>
      </c>
      <c r="V13" s="9">
        <v>74</v>
      </c>
      <c r="W13" s="9" t="s">
        <v>267</v>
      </c>
      <c r="X13" s="9">
        <v>15</v>
      </c>
      <c r="Y13" s="1">
        <f t="shared" si="2"/>
        <v>37784.400000000001</v>
      </c>
      <c r="ZG13" s="4" t="s">
        <v>30</v>
      </c>
    </row>
    <row r="14" spans="1:686" x14ac:dyDescent="0.25">
      <c r="A14" s="1" t="s">
        <v>272</v>
      </c>
      <c r="C14" s="1" t="s">
        <v>272</v>
      </c>
      <c r="D14" s="1" t="s">
        <v>308</v>
      </c>
      <c r="E14" s="1" t="s">
        <v>416</v>
      </c>
      <c r="F14" s="1" t="s">
        <v>428</v>
      </c>
      <c r="G14" s="9" t="s">
        <v>77</v>
      </c>
      <c r="H14" s="1" t="s">
        <v>361</v>
      </c>
      <c r="J14" s="9" t="s">
        <v>265</v>
      </c>
      <c r="K14" s="1" t="s">
        <v>296</v>
      </c>
      <c r="L14" s="9">
        <v>125</v>
      </c>
      <c r="M14" s="9" t="s">
        <v>267</v>
      </c>
      <c r="N14" s="9">
        <v>15</v>
      </c>
      <c r="O14" s="1">
        <f t="shared" si="0"/>
        <v>57787.5</v>
      </c>
      <c r="P14" s="1" t="s">
        <v>296</v>
      </c>
      <c r="Q14" s="9">
        <v>125</v>
      </c>
      <c r="R14" s="9" t="s">
        <v>267</v>
      </c>
      <c r="S14" s="9">
        <v>15</v>
      </c>
      <c r="T14" s="1">
        <f t="shared" si="1"/>
        <v>57787.5</v>
      </c>
      <c r="U14" s="1" t="s">
        <v>296</v>
      </c>
      <c r="V14" s="9">
        <v>125</v>
      </c>
      <c r="W14" s="9" t="s">
        <v>267</v>
      </c>
      <c r="X14" s="9">
        <v>15</v>
      </c>
      <c r="Y14" s="1">
        <f t="shared" si="2"/>
        <v>57787.5</v>
      </c>
      <c r="ZG14" s="4" t="s">
        <v>31</v>
      </c>
    </row>
    <row r="15" spans="1:686" x14ac:dyDescent="0.25">
      <c r="A15" s="1" t="s">
        <v>349</v>
      </c>
      <c r="C15" s="1" t="s">
        <v>349</v>
      </c>
      <c r="D15" s="1" t="s">
        <v>308</v>
      </c>
      <c r="E15" s="1" t="s">
        <v>415</v>
      </c>
      <c r="F15" s="1" t="s">
        <v>428</v>
      </c>
      <c r="G15" s="9" t="s">
        <v>77</v>
      </c>
      <c r="H15" s="1" t="s">
        <v>361</v>
      </c>
      <c r="J15" s="9" t="s">
        <v>265</v>
      </c>
      <c r="K15" s="1" t="s">
        <v>295</v>
      </c>
      <c r="L15" s="9">
        <v>48</v>
      </c>
      <c r="M15" s="9" t="s">
        <v>267</v>
      </c>
      <c r="N15" s="9">
        <v>15</v>
      </c>
      <c r="O15" s="1">
        <f t="shared" si="0"/>
        <v>21031.200000000001</v>
      </c>
      <c r="P15" s="1" t="s">
        <v>295</v>
      </c>
      <c r="Q15" s="9">
        <v>48</v>
      </c>
      <c r="R15" s="9" t="s">
        <v>267</v>
      </c>
      <c r="S15" s="9">
        <v>15</v>
      </c>
      <c r="T15" s="1">
        <f t="shared" si="1"/>
        <v>21031.200000000001</v>
      </c>
      <c r="U15" s="1" t="s">
        <v>295</v>
      </c>
      <c r="V15" s="9">
        <v>48</v>
      </c>
      <c r="W15" s="9" t="s">
        <v>267</v>
      </c>
      <c r="X15" s="9">
        <v>15</v>
      </c>
      <c r="Y15" s="1">
        <f t="shared" si="2"/>
        <v>21031.200000000001</v>
      </c>
      <c r="ZG15" s="4" t="s">
        <v>32</v>
      </c>
    </row>
    <row r="16" spans="1:686" x14ac:dyDescent="0.25">
      <c r="A16" s="1" t="s">
        <v>348</v>
      </c>
      <c r="C16" s="1" t="s">
        <v>348</v>
      </c>
      <c r="D16" s="1" t="s">
        <v>308</v>
      </c>
      <c r="E16" s="1" t="s">
        <v>414</v>
      </c>
      <c r="F16" s="1" t="s">
        <v>428</v>
      </c>
      <c r="G16" s="9" t="s">
        <v>76</v>
      </c>
      <c r="H16" s="1" t="s">
        <v>361</v>
      </c>
      <c r="J16" s="9" t="s">
        <v>265</v>
      </c>
      <c r="K16" s="1" t="s">
        <v>294</v>
      </c>
      <c r="L16" s="9">
        <v>39</v>
      </c>
      <c r="M16" s="9" t="s">
        <v>267</v>
      </c>
      <c r="N16" s="9">
        <v>15</v>
      </c>
      <c r="O16" s="1">
        <f t="shared" si="0"/>
        <v>13724.1</v>
      </c>
      <c r="P16" s="1" t="s">
        <v>294</v>
      </c>
      <c r="Q16" s="9">
        <v>39</v>
      </c>
      <c r="R16" s="9" t="s">
        <v>267</v>
      </c>
      <c r="S16" s="9">
        <v>15</v>
      </c>
      <c r="T16" s="1">
        <f t="shared" si="1"/>
        <v>13724.1</v>
      </c>
      <c r="U16" s="1" t="s">
        <v>294</v>
      </c>
      <c r="V16" s="9">
        <v>39</v>
      </c>
      <c r="W16" s="9" t="s">
        <v>267</v>
      </c>
      <c r="X16" s="9">
        <v>15</v>
      </c>
      <c r="Y16" s="1">
        <f t="shared" si="2"/>
        <v>13724.1</v>
      </c>
      <c r="ZG16" s="4" t="s">
        <v>33</v>
      </c>
    </row>
    <row r="17" spans="1:683" x14ac:dyDescent="0.25">
      <c r="A17" s="1" t="s">
        <v>271</v>
      </c>
      <c r="C17" s="1" t="s">
        <v>271</v>
      </c>
      <c r="D17" s="1" t="s">
        <v>308</v>
      </c>
      <c r="E17" s="1" t="s">
        <v>413</v>
      </c>
      <c r="F17" s="1" t="s">
        <v>428</v>
      </c>
      <c r="G17" s="9" t="s">
        <v>76</v>
      </c>
      <c r="H17" s="1" t="s">
        <v>361</v>
      </c>
      <c r="J17" s="9" t="s">
        <v>265</v>
      </c>
      <c r="K17" s="1" t="s">
        <v>293</v>
      </c>
      <c r="L17" s="9">
        <v>39</v>
      </c>
      <c r="M17" s="9" t="s">
        <v>267</v>
      </c>
      <c r="N17" s="9">
        <v>15</v>
      </c>
      <c r="O17" s="1">
        <f t="shared" si="0"/>
        <v>7534.8</v>
      </c>
      <c r="P17" s="1" t="s">
        <v>293</v>
      </c>
      <c r="Q17" s="9">
        <v>39</v>
      </c>
      <c r="R17" s="9" t="s">
        <v>267</v>
      </c>
      <c r="S17" s="9">
        <v>15</v>
      </c>
      <c r="T17" s="1">
        <f t="shared" si="1"/>
        <v>7534.8</v>
      </c>
      <c r="U17" s="1" t="s">
        <v>293</v>
      </c>
      <c r="V17" s="9">
        <v>39</v>
      </c>
      <c r="W17" s="9" t="s">
        <v>267</v>
      </c>
      <c r="X17" s="9">
        <v>15</v>
      </c>
      <c r="Y17" s="1">
        <f t="shared" si="2"/>
        <v>7534.8</v>
      </c>
      <c r="ZG17" s="4" t="s">
        <v>34</v>
      </c>
    </row>
    <row r="18" spans="1:683" x14ac:dyDescent="0.25">
      <c r="A18" s="1" t="s">
        <v>347</v>
      </c>
      <c r="C18" s="1" t="s">
        <v>347</v>
      </c>
      <c r="D18" s="1" t="s">
        <v>308</v>
      </c>
      <c r="E18" s="1" t="s">
        <v>412</v>
      </c>
      <c r="F18" s="1" t="s">
        <v>428</v>
      </c>
      <c r="G18" s="9" t="s">
        <v>199</v>
      </c>
      <c r="H18" s="1" t="s">
        <v>361</v>
      </c>
      <c r="J18" s="9" t="s">
        <v>265</v>
      </c>
      <c r="K18" s="1" t="s">
        <v>292</v>
      </c>
      <c r="L18" s="9">
        <v>39</v>
      </c>
      <c r="M18" s="9" t="s">
        <v>267</v>
      </c>
      <c r="N18" s="9">
        <v>15</v>
      </c>
      <c r="O18" s="1">
        <f t="shared" si="0"/>
        <v>15473.25</v>
      </c>
      <c r="P18" s="1" t="s">
        <v>292</v>
      </c>
      <c r="Q18" s="9">
        <v>39</v>
      </c>
      <c r="R18" s="9" t="s">
        <v>267</v>
      </c>
      <c r="S18" s="9">
        <v>15</v>
      </c>
      <c r="T18" s="1">
        <f t="shared" si="1"/>
        <v>15473.25</v>
      </c>
      <c r="U18" s="1" t="s">
        <v>292</v>
      </c>
      <c r="V18" s="9">
        <v>39</v>
      </c>
      <c r="W18" s="9" t="s">
        <v>267</v>
      </c>
      <c r="X18" s="9">
        <v>15</v>
      </c>
      <c r="Y18" s="1">
        <f t="shared" si="2"/>
        <v>15473.25</v>
      </c>
      <c r="ZG18" s="4" t="s">
        <v>35</v>
      </c>
    </row>
    <row r="19" spans="1:683" x14ac:dyDescent="0.25">
      <c r="A19" s="1" t="s">
        <v>346</v>
      </c>
      <c r="C19" s="1" t="s">
        <v>346</v>
      </c>
      <c r="D19" s="1" t="s">
        <v>308</v>
      </c>
      <c r="E19" s="1" t="s">
        <v>411</v>
      </c>
      <c r="F19" s="1" t="s">
        <v>428</v>
      </c>
      <c r="G19" s="9" t="s">
        <v>76</v>
      </c>
      <c r="H19" s="1" t="s">
        <v>361</v>
      </c>
      <c r="J19" s="9" t="s">
        <v>265</v>
      </c>
      <c r="K19" s="1" t="s">
        <v>291</v>
      </c>
      <c r="L19" s="9">
        <v>35</v>
      </c>
      <c r="M19" s="9" t="s">
        <v>267</v>
      </c>
      <c r="N19" s="9">
        <v>15</v>
      </c>
      <c r="O19" s="1">
        <f t="shared" si="0"/>
        <v>8694</v>
      </c>
      <c r="P19" s="1" t="s">
        <v>291</v>
      </c>
      <c r="Q19" s="9">
        <v>35</v>
      </c>
      <c r="R19" s="9" t="s">
        <v>267</v>
      </c>
      <c r="S19" s="9">
        <v>15</v>
      </c>
      <c r="T19" s="1">
        <f t="shared" si="1"/>
        <v>8694</v>
      </c>
      <c r="U19" s="1" t="s">
        <v>291</v>
      </c>
      <c r="V19" s="9">
        <v>35</v>
      </c>
      <c r="W19" s="9" t="s">
        <v>267</v>
      </c>
      <c r="X19" s="9">
        <v>15</v>
      </c>
      <c r="Y19" s="1">
        <f t="shared" si="2"/>
        <v>8694</v>
      </c>
      <c r="ZG19" s="4" t="s">
        <v>36</v>
      </c>
    </row>
    <row r="20" spans="1:683" x14ac:dyDescent="0.25">
      <c r="A20" s="1" t="s">
        <v>273</v>
      </c>
      <c r="C20" s="1" t="s">
        <v>273</v>
      </c>
      <c r="D20" s="1" t="s">
        <v>308</v>
      </c>
      <c r="E20" s="1" t="s">
        <v>410</v>
      </c>
      <c r="F20" s="1" t="s">
        <v>428</v>
      </c>
      <c r="G20" s="9" t="s">
        <v>77</v>
      </c>
      <c r="H20" s="1" t="s">
        <v>361</v>
      </c>
      <c r="J20" s="9" t="s">
        <v>265</v>
      </c>
      <c r="K20" s="1" t="s">
        <v>290</v>
      </c>
      <c r="L20" s="9">
        <v>39</v>
      </c>
      <c r="M20" s="9" t="s">
        <v>267</v>
      </c>
      <c r="N20" s="9">
        <v>15</v>
      </c>
      <c r="O20" s="1">
        <f t="shared" si="0"/>
        <v>8880.2999999999993</v>
      </c>
      <c r="P20" s="1" t="s">
        <v>290</v>
      </c>
      <c r="Q20" s="9">
        <v>39</v>
      </c>
      <c r="R20" s="9" t="s">
        <v>267</v>
      </c>
      <c r="S20" s="9">
        <v>15</v>
      </c>
      <c r="T20" s="1">
        <f t="shared" si="1"/>
        <v>8880.2999999999993</v>
      </c>
      <c r="U20" s="1" t="s">
        <v>290</v>
      </c>
      <c r="V20" s="9">
        <v>39</v>
      </c>
      <c r="W20" s="9" t="s">
        <v>267</v>
      </c>
      <c r="X20" s="9">
        <v>15</v>
      </c>
      <c r="Y20" s="1">
        <f t="shared" si="2"/>
        <v>8880.2999999999993</v>
      </c>
      <c r="ZG20" s="4" t="s">
        <v>37</v>
      </c>
    </row>
    <row r="21" spans="1:683" x14ac:dyDescent="0.25">
      <c r="A21" s="1" t="s">
        <v>345</v>
      </c>
      <c r="C21" s="1" t="s">
        <v>345</v>
      </c>
      <c r="D21" s="1" t="s">
        <v>308</v>
      </c>
      <c r="E21" s="1" t="s">
        <v>409</v>
      </c>
      <c r="F21" s="1" t="s">
        <v>428</v>
      </c>
      <c r="G21" s="9" t="s">
        <v>199</v>
      </c>
      <c r="H21" s="1" t="s">
        <v>361</v>
      </c>
      <c r="J21" s="9" t="s">
        <v>265</v>
      </c>
      <c r="K21" s="1" t="s">
        <v>289</v>
      </c>
      <c r="L21" s="9">
        <v>45</v>
      </c>
      <c r="M21" s="9" t="s">
        <v>267</v>
      </c>
      <c r="N21" s="9">
        <v>15</v>
      </c>
      <c r="O21" s="1">
        <f t="shared" si="0"/>
        <v>9470.25</v>
      </c>
      <c r="P21" s="1" t="s">
        <v>289</v>
      </c>
      <c r="Q21" s="9">
        <v>45</v>
      </c>
      <c r="R21" s="9" t="s">
        <v>267</v>
      </c>
      <c r="S21" s="9">
        <v>15</v>
      </c>
      <c r="T21" s="1">
        <f t="shared" si="1"/>
        <v>9470.25</v>
      </c>
      <c r="U21" s="1" t="s">
        <v>289</v>
      </c>
      <c r="V21" s="9">
        <v>45</v>
      </c>
      <c r="W21" s="9" t="s">
        <v>267</v>
      </c>
      <c r="X21" s="9">
        <v>15</v>
      </c>
      <c r="Y21" s="1">
        <f t="shared" si="2"/>
        <v>9470.25</v>
      </c>
      <c r="ZG21" s="4" t="s">
        <v>38</v>
      </c>
    </row>
    <row r="22" spans="1:683" x14ac:dyDescent="0.25">
      <c r="A22" s="1" t="s">
        <v>344</v>
      </c>
      <c r="C22" s="1" t="s">
        <v>344</v>
      </c>
      <c r="D22" s="1" t="s">
        <v>308</v>
      </c>
      <c r="E22" s="1" t="s">
        <v>408</v>
      </c>
      <c r="F22" s="1" t="s">
        <v>428</v>
      </c>
      <c r="G22" s="9" t="s">
        <v>77</v>
      </c>
      <c r="H22" s="1" t="s">
        <v>361</v>
      </c>
      <c r="J22" s="9" t="s">
        <v>265</v>
      </c>
      <c r="K22" s="1" t="s">
        <v>288</v>
      </c>
      <c r="L22" s="9">
        <v>45</v>
      </c>
      <c r="M22" s="9" t="s">
        <v>267</v>
      </c>
      <c r="N22" s="9">
        <v>15</v>
      </c>
      <c r="O22" s="1">
        <f t="shared" si="0"/>
        <v>7762.5</v>
      </c>
      <c r="P22" s="1" t="s">
        <v>288</v>
      </c>
      <c r="Q22" s="9">
        <v>45</v>
      </c>
      <c r="R22" s="9" t="s">
        <v>267</v>
      </c>
      <c r="S22" s="9">
        <v>15</v>
      </c>
      <c r="T22" s="1">
        <f t="shared" si="1"/>
        <v>7762.5</v>
      </c>
      <c r="U22" s="1" t="s">
        <v>288</v>
      </c>
      <c r="V22" s="9">
        <v>45</v>
      </c>
      <c r="W22" s="9" t="s">
        <v>267</v>
      </c>
      <c r="X22" s="9">
        <v>15</v>
      </c>
      <c r="Y22" s="1">
        <f t="shared" si="2"/>
        <v>7762.5</v>
      </c>
      <c r="ZG22" s="4" t="s">
        <v>39</v>
      </c>
    </row>
    <row r="23" spans="1:683" x14ac:dyDescent="0.25">
      <c r="A23" s="1" t="s">
        <v>343</v>
      </c>
      <c r="C23" s="1" t="s">
        <v>343</v>
      </c>
      <c r="D23" s="1" t="s">
        <v>308</v>
      </c>
      <c r="E23" s="1" t="s">
        <v>407</v>
      </c>
      <c r="F23" s="1" t="s">
        <v>428</v>
      </c>
      <c r="G23" s="9" t="s">
        <v>25</v>
      </c>
      <c r="H23" s="1" t="s">
        <v>361</v>
      </c>
      <c r="J23" s="9" t="s">
        <v>265</v>
      </c>
      <c r="K23" s="1" t="s">
        <v>285</v>
      </c>
      <c r="L23" s="9">
        <v>45</v>
      </c>
      <c r="M23" s="9" t="s">
        <v>267</v>
      </c>
      <c r="N23" s="9">
        <v>15</v>
      </c>
      <c r="O23" s="1">
        <f t="shared" si="0"/>
        <v>6365.25</v>
      </c>
      <c r="P23" s="1" t="s">
        <v>285</v>
      </c>
      <c r="Q23" s="9">
        <v>45</v>
      </c>
      <c r="R23" s="9" t="s">
        <v>267</v>
      </c>
      <c r="S23" s="9">
        <v>15</v>
      </c>
      <c r="T23" s="1">
        <f t="shared" si="1"/>
        <v>6365.25</v>
      </c>
      <c r="U23" s="1" t="s">
        <v>285</v>
      </c>
      <c r="V23" s="9">
        <v>45</v>
      </c>
      <c r="W23" s="9" t="s">
        <v>267</v>
      </c>
      <c r="X23" s="9">
        <v>15</v>
      </c>
      <c r="Y23" s="1">
        <f t="shared" si="2"/>
        <v>6365.25</v>
      </c>
      <c r="ZG23" s="4" t="s">
        <v>40</v>
      </c>
    </row>
    <row r="24" spans="1:683" x14ac:dyDescent="0.25">
      <c r="A24" s="1" t="s">
        <v>342</v>
      </c>
      <c r="C24" s="1" t="s">
        <v>342</v>
      </c>
      <c r="D24" s="1" t="s">
        <v>308</v>
      </c>
      <c r="E24" s="1" t="s">
        <v>406</v>
      </c>
      <c r="F24" s="1" t="s">
        <v>428</v>
      </c>
      <c r="G24" s="9" t="s">
        <v>77</v>
      </c>
      <c r="H24" s="1" t="s">
        <v>361</v>
      </c>
      <c r="J24" s="9" t="s">
        <v>265</v>
      </c>
      <c r="K24" s="1" t="s">
        <v>287</v>
      </c>
      <c r="L24" s="9">
        <v>45</v>
      </c>
      <c r="M24" s="9" t="s">
        <v>267</v>
      </c>
      <c r="N24" s="9">
        <v>15</v>
      </c>
      <c r="O24" s="1">
        <f t="shared" si="0"/>
        <v>5278.5</v>
      </c>
      <c r="P24" s="1" t="s">
        <v>287</v>
      </c>
      <c r="Q24" s="9">
        <v>45</v>
      </c>
      <c r="R24" s="9" t="s">
        <v>267</v>
      </c>
      <c r="S24" s="9">
        <v>15</v>
      </c>
      <c r="T24" s="1">
        <f t="shared" si="1"/>
        <v>5278.5</v>
      </c>
      <c r="U24" s="1" t="s">
        <v>287</v>
      </c>
      <c r="V24" s="9">
        <v>45</v>
      </c>
      <c r="W24" s="9" t="s">
        <v>267</v>
      </c>
      <c r="X24" s="9">
        <v>15</v>
      </c>
      <c r="Y24" s="1">
        <f t="shared" si="2"/>
        <v>5278.5</v>
      </c>
      <c r="ZG24" s="4" t="s">
        <v>41</v>
      </c>
    </row>
    <row r="25" spans="1:683" x14ac:dyDescent="0.25">
      <c r="A25" s="1" t="s">
        <v>341</v>
      </c>
      <c r="C25" s="1" t="s">
        <v>341</v>
      </c>
      <c r="D25" s="1" t="s">
        <v>308</v>
      </c>
      <c r="E25" s="1" t="s">
        <v>405</v>
      </c>
      <c r="F25" s="1" t="s">
        <v>428</v>
      </c>
      <c r="G25" s="9" t="s">
        <v>77</v>
      </c>
      <c r="H25" s="1" t="s">
        <v>361</v>
      </c>
      <c r="J25" s="9" t="s">
        <v>265</v>
      </c>
      <c r="K25" s="1" t="s">
        <v>286</v>
      </c>
      <c r="L25" s="9">
        <v>45</v>
      </c>
      <c r="M25" s="9" t="s">
        <v>267</v>
      </c>
      <c r="N25" s="9">
        <v>15</v>
      </c>
      <c r="O25" s="1">
        <f t="shared" si="0"/>
        <v>4347</v>
      </c>
      <c r="P25" s="1" t="s">
        <v>286</v>
      </c>
      <c r="Q25" s="9">
        <v>45</v>
      </c>
      <c r="R25" s="9" t="s">
        <v>267</v>
      </c>
      <c r="S25" s="9">
        <v>15</v>
      </c>
      <c r="T25" s="1">
        <f t="shared" si="1"/>
        <v>4347</v>
      </c>
      <c r="U25" s="1" t="s">
        <v>286</v>
      </c>
      <c r="V25" s="9">
        <v>45</v>
      </c>
      <c r="W25" s="9" t="s">
        <v>267</v>
      </c>
      <c r="X25" s="9">
        <v>15</v>
      </c>
      <c r="Y25" s="1">
        <f t="shared" si="2"/>
        <v>4347</v>
      </c>
      <c r="ZG25" s="4" t="s">
        <v>42</v>
      </c>
    </row>
    <row r="26" spans="1:683" x14ac:dyDescent="0.25">
      <c r="A26" s="1" t="s">
        <v>340</v>
      </c>
      <c r="C26" s="1" t="s">
        <v>340</v>
      </c>
      <c r="D26" s="1" t="s">
        <v>308</v>
      </c>
      <c r="E26" s="1" t="s">
        <v>404</v>
      </c>
      <c r="F26" s="1" t="s">
        <v>428</v>
      </c>
      <c r="G26" s="9" t="s">
        <v>76</v>
      </c>
      <c r="H26" s="1" t="s">
        <v>361</v>
      </c>
      <c r="J26" s="9" t="s">
        <v>265</v>
      </c>
      <c r="K26" s="1" t="s">
        <v>285</v>
      </c>
      <c r="L26" s="9">
        <v>45</v>
      </c>
      <c r="M26" s="9" t="s">
        <v>267</v>
      </c>
      <c r="N26" s="9">
        <v>15</v>
      </c>
      <c r="O26" s="1">
        <f t="shared" si="0"/>
        <v>6365.25</v>
      </c>
      <c r="P26" s="1" t="s">
        <v>285</v>
      </c>
      <c r="Q26" s="9">
        <v>45</v>
      </c>
      <c r="R26" s="9" t="s">
        <v>267</v>
      </c>
      <c r="S26" s="9">
        <v>15</v>
      </c>
      <c r="T26" s="1">
        <f t="shared" si="1"/>
        <v>6365.25</v>
      </c>
      <c r="U26" s="1" t="s">
        <v>285</v>
      </c>
      <c r="V26" s="9">
        <v>45</v>
      </c>
      <c r="W26" s="9" t="s">
        <v>267</v>
      </c>
      <c r="X26" s="9">
        <v>15</v>
      </c>
      <c r="Y26" s="1">
        <f t="shared" si="2"/>
        <v>6365.25</v>
      </c>
      <c r="ZG26" s="4" t="s">
        <v>43</v>
      </c>
    </row>
    <row r="27" spans="1:683" x14ac:dyDescent="0.25">
      <c r="A27" s="1" t="s">
        <v>339</v>
      </c>
      <c r="C27" s="1" t="s">
        <v>339</v>
      </c>
      <c r="D27" s="1" t="s">
        <v>308</v>
      </c>
      <c r="E27" s="1" t="s">
        <v>403</v>
      </c>
      <c r="F27" s="1" t="s">
        <v>428</v>
      </c>
      <c r="G27" s="9" t="s">
        <v>55</v>
      </c>
      <c r="H27" s="1" t="s">
        <v>361</v>
      </c>
      <c r="J27" s="9" t="s">
        <v>265</v>
      </c>
      <c r="K27" s="1" t="s">
        <v>278</v>
      </c>
      <c r="L27" s="9">
        <v>45</v>
      </c>
      <c r="M27" s="9" t="s">
        <v>267</v>
      </c>
      <c r="N27" s="9">
        <v>15</v>
      </c>
      <c r="O27" s="1">
        <f t="shared" si="0"/>
        <v>3415.5</v>
      </c>
      <c r="P27" s="1" t="s">
        <v>278</v>
      </c>
      <c r="Q27" s="9">
        <v>45</v>
      </c>
      <c r="R27" s="9" t="s">
        <v>267</v>
      </c>
      <c r="S27" s="9">
        <v>15</v>
      </c>
      <c r="T27" s="1">
        <f t="shared" si="1"/>
        <v>3415.5</v>
      </c>
      <c r="U27" s="1" t="s">
        <v>278</v>
      </c>
      <c r="V27" s="9">
        <v>45</v>
      </c>
      <c r="W27" s="9" t="s">
        <v>267</v>
      </c>
      <c r="X27" s="9">
        <v>15</v>
      </c>
      <c r="Y27" s="1">
        <f t="shared" si="2"/>
        <v>3415.5</v>
      </c>
      <c r="ZG27" s="4" t="s">
        <v>44</v>
      </c>
    </row>
    <row r="28" spans="1:683" x14ac:dyDescent="0.25">
      <c r="A28" s="1" t="s">
        <v>338</v>
      </c>
      <c r="C28" s="1" t="s">
        <v>338</v>
      </c>
      <c r="D28" s="1" t="s">
        <v>308</v>
      </c>
      <c r="E28" s="1" t="s">
        <v>402</v>
      </c>
      <c r="F28" s="1" t="s">
        <v>428</v>
      </c>
      <c r="G28" s="9" t="s">
        <v>77</v>
      </c>
      <c r="H28" s="1" t="s">
        <v>361</v>
      </c>
      <c r="J28" s="9" t="s">
        <v>265</v>
      </c>
      <c r="K28" s="1" t="s">
        <v>284</v>
      </c>
      <c r="L28" s="9">
        <v>45</v>
      </c>
      <c r="M28" s="9" t="s">
        <v>267</v>
      </c>
      <c r="N28" s="9">
        <v>15</v>
      </c>
      <c r="O28" s="1">
        <f t="shared" si="0"/>
        <v>6986.25</v>
      </c>
      <c r="P28" s="1" t="s">
        <v>284</v>
      </c>
      <c r="Q28" s="9">
        <v>45</v>
      </c>
      <c r="R28" s="9" t="s">
        <v>267</v>
      </c>
      <c r="S28" s="9">
        <v>15</v>
      </c>
      <c r="T28" s="1">
        <f t="shared" si="1"/>
        <v>6986.25</v>
      </c>
      <c r="U28" s="1" t="s">
        <v>284</v>
      </c>
      <c r="V28" s="9">
        <v>45</v>
      </c>
      <c r="W28" s="9" t="s">
        <v>267</v>
      </c>
      <c r="X28" s="9">
        <v>15</v>
      </c>
      <c r="Y28" s="1">
        <f t="shared" si="2"/>
        <v>6986.25</v>
      </c>
      <c r="ZG28" s="4" t="s">
        <v>45</v>
      </c>
    </row>
    <row r="29" spans="1:683" x14ac:dyDescent="0.25">
      <c r="A29" s="1" t="s">
        <v>337</v>
      </c>
      <c r="C29" s="1" t="s">
        <v>337</v>
      </c>
      <c r="D29" s="1" t="s">
        <v>308</v>
      </c>
      <c r="E29" s="1" t="s">
        <v>401</v>
      </c>
      <c r="F29" s="1" t="s">
        <v>428</v>
      </c>
      <c r="G29" s="9" t="s">
        <v>77</v>
      </c>
      <c r="H29" s="1" t="s">
        <v>361</v>
      </c>
      <c r="J29" s="9" t="s">
        <v>265</v>
      </c>
      <c r="K29" s="1" t="s">
        <v>283</v>
      </c>
      <c r="L29" s="9">
        <v>49</v>
      </c>
      <c r="M29" s="9" t="s">
        <v>267</v>
      </c>
      <c r="N29" s="9">
        <v>15</v>
      </c>
      <c r="O29" s="1">
        <f t="shared" si="0"/>
        <v>16059.75</v>
      </c>
      <c r="P29" s="1" t="s">
        <v>283</v>
      </c>
      <c r="Q29" s="9">
        <v>49</v>
      </c>
      <c r="R29" s="9" t="s">
        <v>267</v>
      </c>
      <c r="S29" s="9">
        <v>15</v>
      </c>
      <c r="T29" s="1">
        <f t="shared" si="1"/>
        <v>16059.75</v>
      </c>
      <c r="U29" s="1" t="s">
        <v>283</v>
      </c>
      <c r="V29" s="9">
        <v>49</v>
      </c>
      <c r="W29" s="9" t="s">
        <v>267</v>
      </c>
      <c r="X29" s="9">
        <v>15</v>
      </c>
      <c r="Y29" s="1">
        <f t="shared" si="2"/>
        <v>16059.75</v>
      </c>
      <c r="ZG29" s="4" t="s">
        <v>46</v>
      </c>
    </row>
    <row r="30" spans="1:683" x14ac:dyDescent="0.25">
      <c r="A30" s="1" t="s">
        <v>336</v>
      </c>
      <c r="C30" s="1" t="s">
        <v>336</v>
      </c>
      <c r="D30" s="1" t="s">
        <v>308</v>
      </c>
      <c r="E30" s="1" t="s">
        <v>400</v>
      </c>
      <c r="F30" s="1" t="s">
        <v>428</v>
      </c>
      <c r="G30" s="9" t="s">
        <v>76</v>
      </c>
      <c r="H30" s="1" t="s">
        <v>361</v>
      </c>
      <c r="J30" s="9" t="s">
        <v>265</v>
      </c>
      <c r="K30" s="1" t="s">
        <v>282</v>
      </c>
      <c r="L30" s="9">
        <v>39</v>
      </c>
      <c r="M30" s="9" t="s">
        <v>267</v>
      </c>
      <c r="N30" s="9">
        <v>15</v>
      </c>
      <c r="O30" s="1">
        <f t="shared" si="0"/>
        <v>3901.95</v>
      </c>
      <c r="P30" s="1" t="s">
        <v>282</v>
      </c>
      <c r="Q30" s="9">
        <v>39</v>
      </c>
      <c r="R30" s="9" t="s">
        <v>267</v>
      </c>
      <c r="S30" s="9">
        <v>15</v>
      </c>
      <c r="T30" s="1">
        <f t="shared" si="1"/>
        <v>3901.95</v>
      </c>
      <c r="U30" s="1" t="s">
        <v>282</v>
      </c>
      <c r="V30" s="9">
        <v>39</v>
      </c>
      <c r="W30" s="9" t="s">
        <v>267</v>
      </c>
      <c r="X30" s="9">
        <v>15</v>
      </c>
      <c r="Y30" s="1">
        <f t="shared" si="2"/>
        <v>3901.95</v>
      </c>
      <c r="ZG30" s="4" t="s">
        <v>47</v>
      </c>
    </row>
    <row r="31" spans="1:683" x14ac:dyDescent="0.25">
      <c r="A31" s="1" t="s">
        <v>335</v>
      </c>
      <c r="C31" s="1" t="s">
        <v>335</v>
      </c>
      <c r="D31" s="1" t="s">
        <v>308</v>
      </c>
      <c r="E31" s="1" t="s">
        <v>399</v>
      </c>
      <c r="F31" s="1" t="s">
        <v>428</v>
      </c>
      <c r="G31" s="9" t="s">
        <v>76</v>
      </c>
      <c r="H31" s="1" t="s">
        <v>361</v>
      </c>
      <c r="J31" s="9" t="s">
        <v>265</v>
      </c>
      <c r="K31" s="1" t="s">
        <v>281</v>
      </c>
      <c r="L31" s="9">
        <v>39</v>
      </c>
      <c r="M31" s="9" t="s">
        <v>267</v>
      </c>
      <c r="N31" s="9">
        <v>15</v>
      </c>
      <c r="O31" s="1">
        <f t="shared" si="0"/>
        <v>2825.55</v>
      </c>
      <c r="P31" s="1" t="s">
        <v>281</v>
      </c>
      <c r="Q31" s="9">
        <v>39</v>
      </c>
      <c r="R31" s="9" t="s">
        <v>267</v>
      </c>
      <c r="S31" s="9">
        <v>15</v>
      </c>
      <c r="T31" s="1">
        <f t="shared" si="1"/>
        <v>2825.55</v>
      </c>
      <c r="U31" s="1" t="s">
        <v>281</v>
      </c>
      <c r="V31" s="9">
        <v>39</v>
      </c>
      <c r="W31" s="9" t="s">
        <v>267</v>
      </c>
      <c r="X31" s="9">
        <v>15</v>
      </c>
      <c r="Y31" s="1">
        <f t="shared" si="2"/>
        <v>2825.55</v>
      </c>
      <c r="ZG31" s="4" t="s">
        <v>48</v>
      </c>
    </row>
    <row r="32" spans="1:683" x14ac:dyDescent="0.25">
      <c r="A32" s="1" t="s">
        <v>334</v>
      </c>
      <c r="C32" s="1" t="s">
        <v>334</v>
      </c>
      <c r="D32" s="1" t="s">
        <v>308</v>
      </c>
      <c r="E32" s="1" t="s">
        <v>398</v>
      </c>
      <c r="F32" s="1" t="s">
        <v>428</v>
      </c>
      <c r="G32" s="9" t="s">
        <v>77</v>
      </c>
      <c r="H32" s="1" t="s">
        <v>361</v>
      </c>
      <c r="J32" s="9" t="s">
        <v>265</v>
      </c>
      <c r="K32" s="1" t="s">
        <v>280</v>
      </c>
      <c r="L32" s="9">
        <v>45</v>
      </c>
      <c r="M32" s="9" t="s">
        <v>267</v>
      </c>
      <c r="N32" s="9">
        <v>15</v>
      </c>
      <c r="O32" s="1">
        <f t="shared" si="0"/>
        <v>7452</v>
      </c>
      <c r="P32" s="1" t="s">
        <v>280</v>
      </c>
      <c r="Q32" s="9">
        <v>45</v>
      </c>
      <c r="R32" s="9" t="s">
        <v>267</v>
      </c>
      <c r="S32" s="9">
        <v>15</v>
      </c>
      <c r="T32" s="1">
        <f t="shared" si="1"/>
        <v>7452</v>
      </c>
      <c r="U32" s="1" t="s">
        <v>280</v>
      </c>
      <c r="V32" s="9">
        <v>45</v>
      </c>
      <c r="W32" s="9" t="s">
        <v>267</v>
      </c>
      <c r="X32" s="9">
        <v>15</v>
      </c>
      <c r="Y32" s="1">
        <f t="shared" si="2"/>
        <v>7452</v>
      </c>
      <c r="ZG32" s="4" t="s">
        <v>49</v>
      </c>
    </row>
    <row r="33" spans="1:683" x14ac:dyDescent="0.25">
      <c r="A33" s="1" t="s">
        <v>333</v>
      </c>
      <c r="C33" s="1" t="s">
        <v>333</v>
      </c>
      <c r="D33" s="1" t="s">
        <v>308</v>
      </c>
      <c r="E33" s="1" t="s">
        <v>397</v>
      </c>
      <c r="F33" s="1" t="s">
        <v>428</v>
      </c>
      <c r="G33" s="9" t="s">
        <v>77</v>
      </c>
      <c r="H33" s="1" t="s">
        <v>361</v>
      </c>
      <c r="J33" s="9" t="s">
        <v>265</v>
      </c>
      <c r="K33" s="1" t="s">
        <v>279</v>
      </c>
      <c r="L33" s="9">
        <v>39</v>
      </c>
      <c r="M33" s="9" t="s">
        <v>267</v>
      </c>
      <c r="N33" s="9">
        <v>15</v>
      </c>
      <c r="O33" s="1">
        <f t="shared" si="0"/>
        <v>2287.35</v>
      </c>
      <c r="P33" s="1" t="s">
        <v>279</v>
      </c>
      <c r="Q33" s="9">
        <v>39</v>
      </c>
      <c r="R33" s="9" t="s">
        <v>267</v>
      </c>
      <c r="S33" s="9">
        <v>15</v>
      </c>
      <c r="T33" s="1">
        <f t="shared" si="1"/>
        <v>2287.35</v>
      </c>
      <c r="U33" s="1" t="s">
        <v>279</v>
      </c>
      <c r="V33" s="9">
        <v>39</v>
      </c>
      <c r="W33" s="9" t="s">
        <v>267</v>
      </c>
      <c r="X33" s="9">
        <v>15</v>
      </c>
      <c r="Y33" s="1">
        <f t="shared" si="2"/>
        <v>2287.35</v>
      </c>
      <c r="ZG33" s="4" t="s">
        <v>50</v>
      </c>
    </row>
    <row r="34" spans="1:683" x14ac:dyDescent="0.25">
      <c r="A34" s="1" t="s">
        <v>332</v>
      </c>
      <c r="C34" s="1" t="s">
        <v>332</v>
      </c>
      <c r="D34" s="1" t="s">
        <v>308</v>
      </c>
      <c r="E34" s="1" t="s">
        <v>396</v>
      </c>
      <c r="F34" s="1" t="s">
        <v>428</v>
      </c>
      <c r="G34" s="9" t="s">
        <v>76</v>
      </c>
      <c r="H34" s="1" t="s">
        <v>361</v>
      </c>
      <c r="J34" s="9" t="s">
        <v>265</v>
      </c>
      <c r="K34" s="1" t="s">
        <v>278</v>
      </c>
      <c r="L34" s="9">
        <v>39</v>
      </c>
      <c r="M34" s="9" t="s">
        <v>267</v>
      </c>
      <c r="N34" s="9">
        <v>15</v>
      </c>
      <c r="O34" s="1">
        <f t="shared" si="0"/>
        <v>2960.1</v>
      </c>
      <c r="P34" s="1" t="s">
        <v>278</v>
      </c>
      <c r="Q34" s="9">
        <v>39</v>
      </c>
      <c r="R34" s="9" t="s">
        <v>267</v>
      </c>
      <c r="S34" s="9">
        <v>15</v>
      </c>
      <c r="T34" s="1">
        <f t="shared" si="1"/>
        <v>2960.1</v>
      </c>
      <c r="U34" s="1" t="s">
        <v>278</v>
      </c>
      <c r="V34" s="9">
        <v>39</v>
      </c>
      <c r="W34" s="9" t="s">
        <v>267</v>
      </c>
      <c r="X34" s="9">
        <v>15</v>
      </c>
      <c r="Y34" s="1">
        <f t="shared" si="2"/>
        <v>2960.1</v>
      </c>
      <c r="ZG34" s="4" t="s">
        <v>51</v>
      </c>
    </row>
    <row r="35" spans="1:683" x14ac:dyDescent="0.25">
      <c r="A35" s="1" t="s">
        <v>275</v>
      </c>
      <c r="C35" s="1" t="s">
        <v>275</v>
      </c>
      <c r="D35" s="1" t="s">
        <v>308</v>
      </c>
      <c r="E35" s="1" t="s">
        <v>395</v>
      </c>
      <c r="F35" s="1" t="s">
        <v>428</v>
      </c>
      <c r="G35" s="9" t="s">
        <v>213</v>
      </c>
      <c r="H35" s="1" t="s">
        <v>361</v>
      </c>
      <c r="J35" s="9" t="s">
        <v>265</v>
      </c>
      <c r="K35" s="1" t="s">
        <v>277</v>
      </c>
      <c r="L35" s="9">
        <v>41</v>
      </c>
      <c r="M35" s="9" t="s">
        <v>267</v>
      </c>
      <c r="N35" s="9">
        <v>15</v>
      </c>
      <c r="O35" s="1">
        <f t="shared" ref="O35:O62" si="3">(((L35*K35)-((L35*K35)*(M35/100)))+(((L35*K35)-((L35*K35)*(M35/100)))*N35/100))</f>
        <v>2121.75</v>
      </c>
      <c r="P35" s="1" t="s">
        <v>277</v>
      </c>
      <c r="Q35" s="9">
        <v>41</v>
      </c>
      <c r="R35" s="9" t="s">
        <v>267</v>
      </c>
      <c r="S35" s="9">
        <v>15</v>
      </c>
      <c r="T35" s="1">
        <f t="shared" ref="T35:T62" si="4">(((Q35*P35)-((Q35*P35)*(R35/100)))+(((Q35*P35)-((Q35*P35)*(R35/100)))*S35/100))</f>
        <v>2121.75</v>
      </c>
      <c r="U35" s="1" t="s">
        <v>277</v>
      </c>
      <c r="V35" s="9">
        <v>41</v>
      </c>
      <c r="W35" s="9" t="s">
        <v>267</v>
      </c>
      <c r="X35" s="9">
        <v>15</v>
      </c>
      <c r="Y35" s="1">
        <f t="shared" ref="Y35:Y62" si="5">(((V35*U35)-((V35*U35)*(W35/100)))+(((V35*U35)-((V35*U35)*(W35/100)))*X35/100))</f>
        <v>2121.75</v>
      </c>
      <c r="ZG35" s="4" t="s">
        <v>52</v>
      </c>
    </row>
    <row r="36" spans="1:683" x14ac:dyDescent="0.25">
      <c r="A36" s="1" t="s">
        <v>331</v>
      </c>
      <c r="C36" s="1" t="s">
        <v>331</v>
      </c>
      <c r="D36" s="1" t="s">
        <v>308</v>
      </c>
      <c r="E36" s="1" t="s">
        <v>394</v>
      </c>
      <c r="F36" s="1" t="s">
        <v>428</v>
      </c>
      <c r="G36" s="9" t="s">
        <v>76</v>
      </c>
      <c r="H36" s="1" t="s">
        <v>361</v>
      </c>
      <c r="J36" s="9" t="s">
        <v>265</v>
      </c>
      <c r="K36" s="1" t="s">
        <v>271</v>
      </c>
      <c r="L36" s="9">
        <v>41</v>
      </c>
      <c r="M36" s="9" t="s">
        <v>267</v>
      </c>
      <c r="N36" s="9">
        <v>15</v>
      </c>
      <c r="O36" s="1">
        <f t="shared" si="3"/>
        <v>707.25</v>
      </c>
      <c r="P36" s="1" t="s">
        <v>271</v>
      </c>
      <c r="Q36" s="9">
        <v>41</v>
      </c>
      <c r="R36" s="9" t="s">
        <v>267</v>
      </c>
      <c r="S36" s="9">
        <v>15</v>
      </c>
      <c r="T36" s="1">
        <f t="shared" si="4"/>
        <v>707.25</v>
      </c>
      <c r="U36" s="1" t="s">
        <v>271</v>
      </c>
      <c r="V36" s="9">
        <v>41</v>
      </c>
      <c r="W36" s="9" t="s">
        <v>267</v>
      </c>
      <c r="X36" s="9">
        <v>15</v>
      </c>
      <c r="Y36" s="1">
        <f t="shared" si="5"/>
        <v>707.25</v>
      </c>
      <c r="ZG36" s="4" t="s">
        <v>53</v>
      </c>
    </row>
    <row r="37" spans="1:683" x14ac:dyDescent="0.25">
      <c r="A37" s="1" t="s">
        <v>330</v>
      </c>
      <c r="C37" s="1" t="s">
        <v>330</v>
      </c>
      <c r="D37" s="1" t="s">
        <v>308</v>
      </c>
      <c r="E37" s="1" t="s">
        <v>393</v>
      </c>
      <c r="F37" s="1" t="s">
        <v>428</v>
      </c>
      <c r="G37" s="9" t="s">
        <v>76</v>
      </c>
      <c r="H37" s="1" t="s">
        <v>361</v>
      </c>
      <c r="J37" s="9" t="s">
        <v>265</v>
      </c>
      <c r="K37" s="1" t="s">
        <v>276</v>
      </c>
      <c r="L37" s="9">
        <v>41</v>
      </c>
      <c r="M37" s="9" t="s">
        <v>267</v>
      </c>
      <c r="N37" s="9">
        <v>15</v>
      </c>
      <c r="O37" s="1">
        <f t="shared" si="3"/>
        <v>1697.4</v>
      </c>
      <c r="P37" s="1" t="s">
        <v>276</v>
      </c>
      <c r="Q37" s="9">
        <v>41</v>
      </c>
      <c r="R37" s="9" t="s">
        <v>267</v>
      </c>
      <c r="S37" s="9">
        <v>15</v>
      </c>
      <c r="T37" s="1">
        <f t="shared" si="4"/>
        <v>1697.4</v>
      </c>
      <c r="U37" s="1" t="s">
        <v>276</v>
      </c>
      <c r="V37" s="9">
        <v>41</v>
      </c>
      <c r="W37" s="9" t="s">
        <v>267</v>
      </c>
      <c r="X37" s="9">
        <v>15</v>
      </c>
      <c r="Y37" s="1">
        <f t="shared" si="5"/>
        <v>1697.4</v>
      </c>
      <c r="ZG37" s="4" t="s">
        <v>54</v>
      </c>
    </row>
    <row r="38" spans="1:683" x14ac:dyDescent="0.25">
      <c r="A38" s="1" t="s">
        <v>276</v>
      </c>
      <c r="C38" s="1" t="s">
        <v>276</v>
      </c>
      <c r="D38" s="1" t="s">
        <v>308</v>
      </c>
      <c r="E38" s="1" t="s">
        <v>392</v>
      </c>
      <c r="F38" s="1" t="s">
        <v>428</v>
      </c>
      <c r="G38" s="9" t="s">
        <v>77</v>
      </c>
      <c r="H38" s="1" t="s">
        <v>361</v>
      </c>
      <c r="J38" s="9" t="s">
        <v>265</v>
      </c>
      <c r="K38" s="1" t="s">
        <v>271</v>
      </c>
      <c r="L38" s="9">
        <v>41</v>
      </c>
      <c r="M38" s="9" t="s">
        <v>267</v>
      </c>
      <c r="N38" s="9">
        <v>15</v>
      </c>
      <c r="O38" s="1">
        <f t="shared" si="3"/>
        <v>707.25</v>
      </c>
      <c r="P38" s="1" t="s">
        <v>271</v>
      </c>
      <c r="Q38" s="9">
        <v>41</v>
      </c>
      <c r="R38" s="9" t="s">
        <v>267</v>
      </c>
      <c r="S38" s="9">
        <v>15</v>
      </c>
      <c r="T38" s="1">
        <f t="shared" si="4"/>
        <v>707.25</v>
      </c>
      <c r="U38" s="1" t="s">
        <v>271</v>
      </c>
      <c r="V38" s="9">
        <v>41</v>
      </c>
      <c r="W38" s="9" t="s">
        <v>267</v>
      </c>
      <c r="X38" s="9">
        <v>15</v>
      </c>
      <c r="Y38" s="1">
        <f t="shared" si="5"/>
        <v>707.25</v>
      </c>
      <c r="ZG38" s="4" t="s">
        <v>55</v>
      </c>
    </row>
    <row r="39" spans="1:683" x14ac:dyDescent="0.25">
      <c r="A39" s="1" t="s">
        <v>329</v>
      </c>
      <c r="C39" s="1" t="s">
        <v>329</v>
      </c>
      <c r="D39" s="1" t="s">
        <v>308</v>
      </c>
      <c r="E39" s="1" t="s">
        <v>391</v>
      </c>
      <c r="F39" s="1" t="s">
        <v>428</v>
      </c>
      <c r="G39" s="9" t="s">
        <v>199</v>
      </c>
      <c r="H39" s="1" t="s">
        <v>361</v>
      </c>
      <c r="J39" s="9" t="s">
        <v>265</v>
      </c>
      <c r="K39" s="1" t="s">
        <v>275</v>
      </c>
      <c r="L39" s="9">
        <v>41</v>
      </c>
      <c r="M39" s="9" t="s">
        <v>267</v>
      </c>
      <c r="N39" s="9">
        <v>15</v>
      </c>
      <c r="O39" s="1">
        <f t="shared" si="3"/>
        <v>1555.95</v>
      </c>
      <c r="P39" s="1" t="s">
        <v>275</v>
      </c>
      <c r="Q39" s="9">
        <v>41</v>
      </c>
      <c r="R39" s="9" t="s">
        <v>267</v>
      </c>
      <c r="S39" s="9">
        <v>15</v>
      </c>
      <c r="T39" s="1">
        <f t="shared" si="4"/>
        <v>1555.95</v>
      </c>
      <c r="U39" s="1" t="s">
        <v>275</v>
      </c>
      <c r="V39" s="9">
        <v>41</v>
      </c>
      <c r="W39" s="9" t="s">
        <v>267</v>
      </c>
      <c r="X39" s="9">
        <v>15</v>
      </c>
      <c r="Y39" s="1">
        <f t="shared" si="5"/>
        <v>1555.95</v>
      </c>
      <c r="ZG39" s="4" t="s">
        <v>56</v>
      </c>
    </row>
    <row r="40" spans="1:683" x14ac:dyDescent="0.25">
      <c r="A40" s="1" t="s">
        <v>328</v>
      </c>
      <c r="C40" s="1" t="s">
        <v>328</v>
      </c>
      <c r="D40" s="1" t="s">
        <v>308</v>
      </c>
      <c r="E40" s="1" t="s">
        <v>390</v>
      </c>
      <c r="F40" s="1" t="s">
        <v>428</v>
      </c>
      <c r="G40" s="9" t="s">
        <v>77</v>
      </c>
      <c r="H40" s="1" t="s">
        <v>361</v>
      </c>
      <c r="J40" s="9" t="s">
        <v>265</v>
      </c>
      <c r="K40" s="1" t="s">
        <v>271</v>
      </c>
      <c r="L40" s="9">
        <v>41</v>
      </c>
      <c r="M40" s="9" t="s">
        <v>267</v>
      </c>
      <c r="N40" s="9">
        <v>15</v>
      </c>
      <c r="O40" s="1">
        <f t="shared" si="3"/>
        <v>707.25</v>
      </c>
      <c r="P40" s="1" t="s">
        <v>271</v>
      </c>
      <c r="Q40" s="9">
        <v>41</v>
      </c>
      <c r="R40" s="9" t="s">
        <v>267</v>
      </c>
      <c r="S40" s="9">
        <v>15</v>
      </c>
      <c r="T40" s="1">
        <f t="shared" si="4"/>
        <v>707.25</v>
      </c>
      <c r="U40" s="1" t="s">
        <v>271</v>
      </c>
      <c r="V40" s="9">
        <v>41</v>
      </c>
      <c r="W40" s="9" t="s">
        <v>267</v>
      </c>
      <c r="X40" s="9">
        <v>15</v>
      </c>
      <c r="Y40" s="1">
        <f t="shared" si="5"/>
        <v>707.25</v>
      </c>
      <c r="ZG40" s="4" t="s">
        <v>57</v>
      </c>
    </row>
    <row r="41" spans="1:683" x14ac:dyDescent="0.25">
      <c r="A41" s="1" t="s">
        <v>274</v>
      </c>
      <c r="C41" s="1" t="s">
        <v>274</v>
      </c>
      <c r="D41" s="1" t="s">
        <v>308</v>
      </c>
      <c r="E41" s="1" t="s">
        <v>389</v>
      </c>
      <c r="F41" s="1" t="s">
        <v>428</v>
      </c>
      <c r="G41" s="9" t="s">
        <v>76</v>
      </c>
      <c r="H41" s="1" t="s">
        <v>361</v>
      </c>
      <c r="J41" s="9" t="s">
        <v>265</v>
      </c>
      <c r="K41" s="1" t="s">
        <v>273</v>
      </c>
      <c r="L41" s="9">
        <v>41</v>
      </c>
      <c r="M41" s="9" t="s">
        <v>267</v>
      </c>
      <c r="N41" s="9">
        <v>15</v>
      </c>
      <c r="O41" s="1">
        <f t="shared" si="3"/>
        <v>848.7</v>
      </c>
      <c r="P41" s="1" t="s">
        <v>273</v>
      </c>
      <c r="Q41" s="9">
        <v>41</v>
      </c>
      <c r="R41" s="9" t="s">
        <v>267</v>
      </c>
      <c r="S41" s="9">
        <v>15</v>
      </c>
      <c r="T41" s="1">
        <f t="shared" si="4"/>
        <v>848.7</v>
      </c>
      <c r="U41" s="1" t="s">
        <v>273</v>
      </c>
      <c r="V41" s="9">
        <v>41</v>
      </c>
      <c r="W41" s="9" t="s">
        <v>267</v>
      </c>
      <c r="X41" s="9">
        <v>15</v>
      </c>
      <c r="Y41" s="1">
        <f t="shared" si="5"/>
        <v>848.7</v>
      </c>
      <c r="ZG41" s="4" t="s">
        <v>58</v>
      </c>
    </row>
    <row r="42" spans="1:683" x14ac:dyDescent="0.25">
      <c r="A42" s="1" t="s">
        <v>327</v>
      </c>
      <c r="C42" s="1" t="s">
        <v>327</v>
      </c>
      <c r="D42" s="1" t="s">
        <v>308</v>
      </c>
      <c r="E42" s="1" t="s">
        <v>388</v>
      </c>
      <c r="F42" s="1" t="s">
        <v>428</v>
      </c>
      <c r="G42" s="9" t="s">
        <v>77</v>
      </c>
      <c r="H42" s="1" t="s">
        <v>361</v>
      </c>
      <c r="J42" s="9" t="s">
        <v>265</v>
      </c>
      <c r="K42" s="1" t="s">
        <v>271</v>
      </c>
      <c r="L42" s="9">
        <v>41</v>
      </c>
      <c r="M42" s="9" t="s">
        <v>267</v>
      </c>
      <c r="N42" s="9">
        <v>15</v>
      </c>
      <c r="O42" s="1">
        <f t="shared" si="3"/>
        <v>707.25</v>
      </c>
      <c r="P42" s="1" t="s">
        <v>271</v>
      </c>
      <c r="Q42" s="9">
        <v>41</v>
      </c>
      <c r="R42" s="9" t="s">
        <v>267</v>
      </c>
      <c r="S42" s="9">
        <v>15</v>
      </c>
      <c r="T42" s="1">
        <f t="shared" si="4"/>
        <v>707.25</v>
      </c>
      <c r="U42" s="1" t="s">
        <v>271</v>
      </c>
      <c r="V42" s="9">
        <v>41</v>
      </c>
      <c r="W42" s="9" t="s">
        <v>267</v>
      </c>
      <c r="X42" s="9">
        <v>15</v>
      </c>
      <c r="Y42" s="1">
        <f t="shared" si="5"/>
        <v>707.25</v>
      </c>
      <c r="ZG42" s="4" t="s">
        <v>59</v>
      </c>
    </row>
    <row r="43" spans="1:683" x14ac:dyDescent="0.25">
      <c r="A43" s="1" t="s">
        <v>326</v>
      </c>
      <c r="C43" s="1" t="s">
        <v>326</v>
      </c>
      <c r="D43" s="1" t="s">
        <v>308</v>
      </c>
      <c r="E43" s="1" t="s">
        <v>387</v>
      </c>
      <c r="F43" s="1" t="s">
        <v>428</v>
      </c>
      <c r="G43" s="9" t="s">
        <v>77</v>
      </c>
      <c r="H43" s="1" t="s">
        <v>361</v>
      </c>
      <c r="J43" s="9" t="s">
        <v>265</v>
      </c>
      <c r="K43" s="1" t="s">
        <v>274</v>
      </c>
      <c r="L43" s="9">
        <v>41</v>
      </c>
      <c r="M43" s="9" t="s">
        <v>267</v>
      </c>
      <c r="N43" s="9">
        <v>15</v>
      </c>
      <c r="O43" s="1">
        <f t="shared" si="3"/>
        <v>1838.85</v>
      </c>
      <c r="P43" s="1" t="s">
        <v>274</v>
      </c>
      <c r="Q43" s="9">
        <v>41</v>
      </c>
      <c r="R43" s="9" t="s">
        <v>267</v>
      </c>
      <c r="S43" s="9">
        <v>15</v>
      </c>
      <c r="T43" s="1">
        <f t="shared" si="4"/>
        <v>1838.85</v>
      </c>
      <c r="U43" s="1" t="s">
        <v>274</v>
      </c>
      <c r="V43" s="9">
        <v>41</v>
      </c>
      <c r="W43" s="9" t="s">
        <v>267</v>
      </c>
      <c r="X43" s="9">
        <v>15</v>
      </c>
      <c r="Y43" s="1">
        <f t="shared" si="5"/>
        <v>1838.85</v>
      </c>
      <c r="ZG43" s="4" t="s">
        <v>60</v>
      </c>
    </row>
    <row r="44" spans="1:683" x14ac:dyDescent="0.25">
      <c r="A44" s="1" t="s">
        <v>325</v>
      </c>
      <c r="C44" s="1" t="s">
        <v>325</v>
      </c>
      <c r="D44" s="1" t="s">
        <v>308</v>
      </c>
      <c r="E44" s="1" t="s">
        <v>386</v>
      </c>
      <c r="F44" s="1" t="s">
        <v>428</v>
      </c>
      <c r="G44" s="9" t="s">
        <v>76</v>
      </c>
      <c r="H44" s="1" t="s">
        <v>361</v>
      </c>
      <c r="J44" s="9" t="s">
        <v>265</v>
      </c>
      <c r="K44" s="1" t="s">
        <v>271</v>
      </c>
      <c r="L44" s="9">
        <v>41</v>
      </c>
      <c r="M44" s="9" t="s">
        <v>267</v>
      </c>
      <c r="N44" s="9">
        <v>15</v>
      </c>
      <c r="O44" s="1">
        <f t="shared" si="3"/>
        <v>707.25</v>
      </c>
      <c r="P44" s="1" t="s">
        <v>271</v>
      </c>
      <c r="Q44" s="9">
        <v>41</v>
      </c>
      <c r="R44" s="9" t="s">
        <v>267</v>
      </c>
      <c r="S44" s="9">
        <v>15</v>
      </c>
      <c r="T44" s="1">
        <f t="shared" si="4"/>
        <v>707.25</v>
      </c>
      <c r="U44" s="1" t="s">
        <v>271</v>
      </c>
      <c r="V44" s="9">
        <v>41</v>
      </c>
      <c r="W44" s="9" t="s">
        <v>267</v>
      </c>
      <c r="X44" s="9">
        <v>15</v>
      </c>
      <c r="Y44" s="1">
        <f t="shared" si="5"/>
        <v>707.25</v>
      </c>
      <c r="ZG44" s="4" t="s">
        <v>61</v>
      </c>
    </row>
    <row r="45" spans="1:683" x14ac:dyDescent="0.25">
      <c r="A45" s="1" t="s">
        <v>324</v>
      </c>
      <c r="C45" s="1" t="s">
        <v>324</v>
      </c>
      <c r="D45" s="1" t="s">
        <v>308</v>
      </c>
      <c r="E45" s="1" t="s">
        <v>385</v>
      </c>
      <c r="F45" s="1" t="s">
        <v>428</v>
      </c>
      <c r="G45" s="9" t="s">
        <v>76</v>
      </c>
      <c r="H45" s="1" t="s">
        <v>361</v>
      </c>
      <c r="J45" s="9" t="s">
        <v>265</v>
      </c>
      <c r="K45" s="1" t="s">
        <v>272</v>
      </c>
      <c r="L45" s="9">
        <v>41</v>
      </c>
      <c r="M45" s="9" t="s">
        <v>267</v>
      </c>
      <c r="N45" s="9">
        <v>15</v>
      </c>
      <c r="O45" s="1">
        <f t="shared" si="3"/>
        <v>565.79999999999995</v>
      </c>
      <c r="P45" s="1" t="s">
        <v>272</v>
      </c>
      <c r="Q45" s="9">
        <v>41</v>
      </c>
      <c r="R45" s="9" t="s">
        <v>267</v>
      </c>
      <c r="S45" s="9">
        <v>15</v>
      </c>
      <c r="T45" s="1">
        <f t="shared" si="4"/>
        <v>565.79999999999995</v>
      </c>
      <c r="U45" s="1" t="s">
        <v>272</v>
      </c>
      <c r="V45" s="9">
        <v>41</v>
      </c>
      <c r="W45" s="9" t="s">
        <v>267</v>
      </c>
      <c r="X45" s="9">
        <v>15</v>
      </c>
      <c r="Y45" s="1">
        <f t="shared" si="5"/>
        <v>565.79999999999995</v>
      </c>
      <c r="ZG45" s="4" t="s">
        <v>62</v>
      </c>
    </row>
    <row r="46" spans="1:683" x14ac:dyDescent="0.25">
      <c r="A46" s="1" t="s">
        <v>323</v>
      </c>
      <c r="C46" s="1" t="s">
        <v>323</v>
      </c>
      <c r="D46" s="1" t="s">
        <v>308</v>
      </c>
      <c r="E46" s="1" t="s">
        <v>384</v>
      </c>
      <c r="F46" s="1" t="s">
        <v>428</v>
      </c>
      <c r="G46" s="9" t="s">
        <v>213</v>
      </c>
      <c r="H46" s="1" t="s">
        <v>361</v>
      </c>
      <c r="J46" s="9" t="s">
        <v>265</v>
      </c>
      <c r="K46" s="1" t="s">
        <v>270</v>
      </c>
      <c r="L46" s="9">
        <v>41</v>
      </c>
      <c r="M46" s="9" t="s">
        <v>267</v>
      </c>
      <c r="N46" s="9">
        <v>15</v>
      </c>
      <c r="O46" s="1">
        <f t="shared" si="3"/>
        <v>424.35</v>
      </c>
      <c r="P46" s="1" t="s">
        <v>270</v>
      </c>
      <c r="Q46" s="9">
        <v>41</v>
      </c>
      <c r="R46" s="9" t="s">
        <v>267</v>
      </c>
      <c r="S46" s="9">
        <v>15</v>
      </c>
      <c r="T46" s="1">
        <f t="shared" si="4"/>
        <v>424.35</v>
      </c>
      <c r="U46" s="1" t="s">
        <v>270</v>
      </c>
      <c r="V46" s="9">
        <v>41</v>
      </c>
      <c r="W46" s="9" t="s">
        <v>267</v>
      </c>
      <c r="X46" s="9">
        <v>15</v>
      </c>
      <c r="Y46" s="1">
        <f t="shared" si="5"/>
        <v>424.35</v>
      </c>
      <c r="ZG46" s="4" t="s">
        <v>63</v>
      </c>
    </row>
    <row r="47" spans="1:683" x14ac:dyDescent="0.25">
      <c r="A47" s="1" t="s">
        <v>277</v>
      </c>
      <c r="C47" s="1" t="s">
        <v>277</v>
      </c>
      <c r="D47" s="1" t="s">
        <v>308</v>
      </c>
      <c r="E47" s="1" t="s">
        <v>383</v>
      </c>
      <c r="F47" s="1" t="s">
        <v>428</v>
      </c>
      <c r="G47" s="9" t="s">
        <v>213</v>
      </c>
      <c r="H47" s="1" t="s">
        <v>361</v>
      </c>
      <c r="J47" s="9" t="s">
        <v>265</v>
      </c>
      <c r="K47" s="1" t="s">
        <v>273</v>
      </c>
      <c r="L47" s="9">
        <v>41</v>
      </c>
      <c r="M47" s="9" t="s">
        <v>267</v>
      </c>
      <c r="N47" s="9">
        <v>15</v>
      </c>
      <c r="O47" s="1">
        <f t="shared" si="3"/>
        <v>848.7</v>
      </c>
      <c r="P47" s="1" t="s">
        <v>273</v>
      </c>
      <c r="Q47" s="9">
        <v>41</v>
      </c>
      <c r="R47" s="9" t="s">
        <v>267</v>
      </c>
      <c r="S47" s="9">
        <v>15</v>
      </c>
      <c r="T47" s="1">
        <f t="shared" si="4"/>
        <v>848.7</v>
      </c>
      <c r="U47" s="1" t="s">
        <v>273</v>
      </c>
      <c r="V47" s="9">
        <v>41</v>
      </c>
      <c r="W47" s="9" t="s">
        <v>267</v>
      </c>
      <c r="X47" s="9">
        <v>15</v>
      </c>
      <c r="Y47" s="1">
        <f t="shared" si="5"/>
        <v>848.7</v>
      </c>
      <c r="ZG47" s="4" t="s">
        <v>64</v>
      </c>
    </row>
    <row r="48" spans="1:683" x14ac:dyDescent="0.25">
      <c r="A48" s="1" t="s">
        <v>322</v>
      </c>
      <c r="C48" s="1" t="s">
        <v>322</v>
      </c>
      <c r="D48" s="1" t="s">
        <v>308</v>
      </c>
      <c r="E48" s="1" t="s">
        <v>382</v>
      </c>
      <c r="F48" s="1" t="s">
        <v>428</v>
      </c>
      <c r="G48" s="9" t="s">
        <v>25</v>
      </c>
      <c r="H48" s="1" t="s">
        <v>361</v>
      </c>
      <c r="J48" s="9" t="s">
        <v>265</v>
      </c>
      <c r="K48" s="1" t="s">
        <v>271</v>
      </c>
      <c r="L48" s="9">
        <v>41</v>
      </c>
      <c r="M48" s="9" t="s">
        <v>267</v>
      </c>
      <c r="N48" s="9">
        <v>15</v>
      </c>
      <c r="O48" s="1">
        <f t="shared" si="3"/>
        <v>707.25</v>
      </c>
      <c r="P48" s="1" t="s">
        <v>271</v>
      </c>
      <c r="Q48" s="9">
        <v>41</v>
      </c>
      <c r="R48" s="9" t="s">
        <v>267</v>
      </c>
      <c r="S48" s="9">
        <v>15</v>
      </c>
      <c r="T48" s="1">
        <f t="shared" si="4"/>
        <v>707.25</v>
      </c>
      <c r="U48" s="1" t="s">
        <v>271</v>
      </c>
      <c r="V48" s="9">
        <v>41</v>
      </c>
      <c r="W48" s="9" t="s">
        <v>267</v>
      </c>
      <c r="X48" s="9">
        <v>15</v>
      </c>
      <c r="Y48" s="1">
        <f t="shared" si="5"/>
        <v>707.25</v>
      </c>
      <c r="ZG48" s="4" t="s">
        <v>65</v>
      </c>
    </row>
    <row r="49" spans="1:683" x14ac:dyDescent="0.25">
      <c r="A49" s="1" t="s">
        <v>321</v>
      </c>
      <c r="C49" s="1" t="s">
        <v>321</v>
      </c>
      <c r="D49" s="1" t="s">
        <v>308</v>
      </c>
      <c r="E49" s="1" t="s">
        <v>381</v>
      </c>
      <c r="F49" s="1" t="s">
        <v>428</v>
      </c>
      <c r="G49" s="9" t="s">
        <v>213</v>
      </c>
      <c r="H49" s="1" t="s">
        <v>361</v>
      </c>
      <c r="J49" s="9" t="s">
        <v>265</v>
      </c>
      <c r="K49" s="1" t="s">
        <v>272</v>
      </c>
      <c r="L49" s="9">
        <v>41</v>
      </c>
      <c r="M49" s="9" t="s">
        <v>267</v>
      </c>
      <c r="N49" s="9">
        <v>15</v>
      </c>
      <c r="O49" s="1">
        <f t="shared" si="3"/>
        <v>565.79999999999995</v>
      </c>
      <c r="P49" s="1" t="s">
        <v>272</v>
      </c>
      <c r="Q49" s="9">
        <v>41</v>
      </c>
      <c r="R49" s="9" t="s">
        <v>267</v>
      </c>
      <c r="S49" s="9">
        <v>15</v>
      </c>
      <c r="T49" s="1">
        <f t="shared" si="4"/>
        <v>565.79999999999995</v>
      </c>
      <c r="U49" s="1" t="s">
        <v>272</v>
      </c>
      <c r="V49" s="9">
        <v>41</v>
      </c>
      <c r="W49" s="9" t="s">
        <v>267</v>
      </c>
      <c r="X49" s="9">
        <v>15</v>
      </c>
      <c r="Y49" s="1">
        <f t="shared" si="5"/>
        <v>565.79999999999995</v>
      </c>
      <c r="ZG49" s="4" t="s">
        <v>66</v>
      </c>
    </row>
    <row r="50" spans="1:683" x14ac:dyDescent="0.25">
      <c r="A50" s="1" t="s">
        <v>320</v>
      </c>
      <c r="C50" s="1" t="s">
        <v>320</v>
      </c>
      <c r="D50" s="1" t="s">
        <v>308</v>
      </c>
      <c r="E50" s="1" t="s">
        <v>380</v>
      </c>
      <c r="F50" s="1" t="s">
        <v>428</v>
      </c>
      <c r="G50" s="9" t="s">
        <v>77</v>
      </c>
      <c r="H50" s="1" t="s">
        <v>361</v>
      </c>
      <c r="J50" s="9" t="s">
        <v>265</v>
      </c>
      <c r="K50" s="1" t="s">
        <v>270</v>
      </c>
      <c r="L50" s="9">
        <v>41</v>
      </c>
      <c r="M50" s="9" t="s">
        <v>267</v>
      </c>
      <c r="N50" s="9">
        <v>15</v>
      </c>
      <c r="O50" s="1">
        <f t="shared" si="3"/>
        <v>424.35</v>
      </c>
      <c r="P50" s="1" t="s">
        <v>270</v>
      </c>
      <c r="Q50" s="9">
        <v>41</v>
      </c>
      <c r="R50" s="9" t="s">
        <v>267</v>
      </c>
      <c r="S50" s="9">
        <v>15</v>
      </c>
      <c r="T50" s="1">
        <f t="shared" si="4"/>
        <v>424.35</v>
      </c>
      <c r="U50" s="1" t="s">
        <v>270</v>
      </c>
      <c r="V50" s="9">
        <v>41</v>
      </c>
      <c r="W50" s="9" t="s">
        <v>267</v>
      </c>
      <c r="X50" s="9">
        <v>15</v>
      </c>
      <c r="Y50" s="1">
        <f t="shared" si="5"/>
        <v>424.35</v>
      </c>
      <c r="ZG50" s="4" t="s">
        <v>67</v>
      </c>
    </row>
    <row r="51" spans="1:683" x14ac:dyDescent="0.25">
      <c r="A51" s="1" t="s">
        <v>319</v>
      </c>
      <c r="C51" s="1" t="s">
        <v>319</v>
      </c>
      <c r="D51" s="1" t="s">
        <v>308</v>
      </c>
      <c r="E51" s="1" t="s">
        <v>379</v>
      </c>
      <c r="F51" s="1" t="s">
        <v>428</v>
      </c>
      <c r="G51" s="9" t="s">
        <v>77</v>
      </c>
      <c r="H51" s="1" t="s">
        <v>361</v>
      </c>
      <c r="J51" s="9" t="s">
        <v>265</v>
      </c>
      <c r="K51" s="1" t="s">
        <v>271</v>
      </c>
      <c r="L51" s="9">
        <v>41</v>
      </c>
      <c r="M51" s="9" t="s">
        <v>267</v>
      </c>
      <c r="N51" s="9">
        <v>15</v>
      </c>
      <c r="O51" s="1">
        <f t="shared" si="3"/>
        <v>707.25</v>
      </c>
      <c r="P51" s="1" t="s">
        <v>271</v>
      </c>
      <c r="Q51" s="9">
        <v>41</v>
      </c>
      <c r="R51" s="9" t="s">
        <v>267</v>
      </c>
      <c r="S51" s="9">
        <v>15</v>
      </c>
      <c r="T51" s="1">
        <f t="shared" si="4"/>
        <v>707.25</v>
      </c>
      <c r="U51" s="1" t="s">
        <v>271</v>
      </c>
      <c r="V51" s="9">
        <v>41</v>
      </c>
      <c r="W51" s="9" t="s">
        <v>267</v>
      </c>
      <c r="X51" s="9">
        <v>15</v>
      </c>
      <c r="Y51" s="1">
        <f t="shared" si="5"/>
        <v>707.25</v>
      </c>
      <c r="ZG51" s="4" t="s">
        <v>68</v>
      </c>
    </row>
    <row r="52" spans="1:683" x14ac:dyDescent="0.25">
      <c r="A52" s="1" t="s">
        <v>318</v>
      </c>
      <c r="C52" s="1" t="s">
        <v>318</v>
      </c>
      <c r="D52" s="1" t="s">
        <v>308</v>
      </c>
      <c r="E52" s="1" t="s">
        <v>378</v>
      </c>
      <c r="F52" s="1" t="s">
        <v>428</v>
      </c>
      <c r="G52" s="9" t="s">
        <v>76</v>
      </c>
      <c r="H52" s="1" t="s">
        <v>361</v>
      </c>
      <c r="J52" s="9" t="s">
        <v>265</v>
      </c>
      <c r="K52" s="1" t="s">
        <v>271</v>
      </c>
      <c r="L52" s="9">
        <v>41</v>
      </c>
      <c r="M52" s="9" t="s">
        <v>267</v>
      </c>
      <c r="N52" s="9">
        <v>15</v>
      </c>
      <c r="O52" s="1">
        <f t="shared" si="3"/>
        <v>707.25</v>
      </c>
      <c r="P52" s="1" t="s">
        <v>271</v>
      </c>
      <c r="Q52" s="9">
        <v>41</v>
      </c>
      <c r="R52" s="9" t="s">
        <v>267</v>
      </c>
      <c r="S52" s="9">
        <v>15</v>
      </c>
      <c r="T52" s="1">
        <f t="shared" si="4"/>
        <v>707.25</v>
      </c>
      <c r="U52" s="1" t="s">
        <v>271</v>
      </c>
      <c r="V52" s="9">
        <v>41</v>
      </c>
      <c r="W52" s="9" t="s">
        <v>267</v>
      </c>
      <c r="X52" s="9">
        <v>15</v>
      </c>
      <c r="Y52" s="1">
        <f t="shared" si="5"/>
        <v>707.25</v>
      </c>
      <c r="ZG52" s="4" t="s">
        <v>69</v>
      </c>
    </row>
    <row r="53" spans="1:683" x14ac:dyDescent="0.25">
      <c r="A53" s="1" t="s">
        <v>279</v>
      </c>
      <c r="C53" s="1" t="s">
        <v>279</v>
      </c>
      <c r="D53" s="1" t="s">
        <v>308</v>
      </c>
      <c r="E53" s="1" t="s">
        <v>377</v>
      </c>
      <c r="F53" s="1" t="s">
        <v>428</v>
      </c>
      <c r="G53" s="9" t="s">
        <v>25</v>
      </c>
      <c r="H53" s="1" t="s">
        <v>361</v>
      </c>
      <c r="J53" s="9" t="s">
        <v>265</v>
      </c>
      <c r="K53" s="1" t="s">
        <v>268</v>
      </c>
      <c r="L53" s="9">
        <v>41</v>
      </c>
      <c r="M53" s="9" t="s">
        <v>267</v>
      </c>
      <c r="N53" s="9">
        <v>15</v>
      </c>
      <c r="O53" s="1">
        <f t="shared" si="3"/>
        <v>141.44999999999999</v>
      </c>
      <c r="P53" s="1" t="s">
        <v>268</v>
      </c>
      <c r="Q53" s="9">
        <v>41</v>
      </c>
      <c r="R53" s="9" t="s">
        <v>267</v>
      </c>
      <c r="S53" s="9">
        <v>15</v>
      </c>
      <c r="T53" s="1">
        <f t="shared" si="4"/>
        <v>141.44999999999999</v>
      </c>
      <c r="U53" s="1" t="s">
        <v>268</v>
      </c>
      <c r="V53" s="9">
        <v>41</v>
      </c>
      <c r="W53" s="9" t="s">
        <v>267</v>
      </c>
      <c r="X53" s="9">
        <v>15</v>
      </c>
      <c r="Y53" s="1">
        <f t="shared" si="5"/>
        <v>141.44999999999999</v>
      </c>
      <c r="ZG53" s="4" t="s">
        <v>70</v>
      </c>
    </row>
    <row r="54" spans="1:683" x14ac:dyDescent="0.25">
      <c r="A54" s="1" t="s">
        <v>317</v>
      </c>
      <c r="C54" s="1" t="s">
        <v>317</v>
      </c>
      <c r="D54" s="1" t="s">
        <v>308</v>
      </c>
      <c r="E54" s="1" t="s">
        <v>376</v>
      </c>
      <c r="F54" s="1" t="s">
        <v>428</v>
      </c>
      <c r="G54" s="9" t="s">
        <v>25</v>
      </c>
      <c r="H54" s="1" t="s">
        <v>361</v>
      </c>
      <c r="J54" s="9" t="s">
        <v>265</v>
      </c>
      <c r="K54" s="1" t="s">
        <v>270</v>
      </c>
      <c r="L54" s="9">
        <v>41</v>
      </c>
      <c r="M54" s="9" t="s">
        <v>267</v>
      </c>
      <c r="N54" s="9">
        <v>15</v>
      </c>
      <c r="O54" s="1">
        <f t="shared" si="3"/>
        <v>424.35</v>
      </c>
      <c r="P54" s="1" t="s">
        <v>270</v>
      </c>
      <c r="Q54" s="9">
        <v>41</v>
      </c>
      <c r="R54" s="9" t="s">
        <v>267</v>
      </c>
      <c r="S54" s="9">
        <v>15</v>
      </c>
      <c r="T54" s="1">
        <f t="shared" si="4"/>
        <v>424.35</v>
      </c>
      <c r="U54" s="1" t="s">
        <v>270</v>
      </c>
      <c r="V54" s="9">
        <v>41</v>
      </c>
      <c r="W54" s="9" t="s">
        <v>267</v>
      </c>
      <c r="X54" s="9">
        <v>15</v>
      </c>
      <c r="Y54" s="1">
        <f t="shared" si="5"/>
        <v>424.35</v>
      </c>
      <c r="ZG54" s="4" t="s">
        <v>71</v>
      </c>
    </row>
    <row r="55" spans="1:683" x14ac:dyDescent="0.25">
      <c r="A55" s="1" t="s">
        <v>316</v>
      </c>
      <c r="C55" s="1" t="s">
        <v>316</v>
      </c>
      <c r="D55" s="1" t="s">
        <v>308</v>
      </c>
      <c r="E55" s="1" t="s">
        <v>375</v>
      </c>
      <c r="F55" s="1" t="s">
        <v>428</v>
      </c>
      <c r="G55" s="9" t="s">
        <v>77</v>
      </c>
      <c r="H55" s="1" t="s">
        <v>361</v>
      </c>
      <c r="J55" s="9" t="s">
        <v>265</v>
      </c>
      <c r="K55" s="1" t="s">
        <v>268</v>
      </c>
      <c r="L55" s="9">
        <v>41</v>
      </c>
      <c r="M55" s="9" t="s">
        <v>267</v>
      </c>
      <c r="N55" s="9">
        <v>15</v>
      </c>
      <c r="O55" s="1">
        <f t="shared" si="3"/>
        <v>141.44999999999999</v>
      </c>
      <c r="P55" s="1" t="s">
        <v>268</v>
      </c>
      <c r="Q55" s="9">
        <v>41</v>
      </c>
      <c r="R55" s="9" t="s">
        <v>267</v>
      </c>
      <c r="S55" s="9">
        <v>15</v>
      </c>
      <c r="T55" s="1">
        <f t="shared" si="4"/>
        <v>141.44999999999999</v>
      </c>
      <c r="U55" s="1" t="s">
        <v>268</v>
      </c>
      <c r="V55" s="9">
        <v>41</v>
      </c>
      <c r="W55" s="9" t="s">
        <v>267</v>
      </c>
      <c r="X55" s="9">
        <v>15</v>
      </c>
      <c r="Y55" s="1">
        <f t="shared" si="5"/>
        <v>141.44999999999999</v>
      </c>
      <c r="ZG55" s="4" t="s">
        <v>72</v>
      </c>
    </row>
    <row r="56" spans="1:683" x14ac:dyDescent="0.25">
      <c r="A56" s="1" t="s">
        <v>315</v>
      </c>
      <c r="C56" s="1" t="s">
        <v>315</v>
      </c>
      <c r="D56" s="1" t="s">
        <v>308</v>
      </c>
      <c r="E56" s="1" t="s">
        <v>374</v>
      </c>
      <c r="F56" s="1" t="s">
        <v>428</v>
      </c>
      <c r="G56" s="9" t="s">
        <v>55</v>
      </c>
      <c r="H56" s="1" t="s">
        <v>361</v>
      </c>
      <c r="J56" s="9" t="s">
        <v>265</v>
      </c>
      <c r="K56" s="1" t="s">
        <v>270</v>
      </c>
      <c r="L56" s="9">
        <v>41</v>
      </c>
      <c r="M56" s="9" t="s">
        <v>267</v>
      </c>
      <c r="N56" s="9">
        <v>15</v>
      </c>
      <c r="O56" s="1">
        <f t="shared" si="3"/>
        <v>424.35</v>
      </c>
      <c r="P56" s="1" t="s">
        <v>270</v>
      </c>
      <c r="Q56" s="9">
        <v>41</v>
      </c>
      <c r="R56" s="9" t="s">
        <v>267</v>
      </c>
      <c r="S56" s="9">
        <v>15</v>
      </c>
      <c r="T56" s="1">
        <f t="shared" si="4"/>
        <v>424.35</v>
      </c>
      <c r="U56" s="1" t="s">
        <v>270</v>
      </c>
      <c r="V56" s="9">
        <v>41</v>
      </c>
      <c r="W56" s="9" t="s">
        <v>267</v>
      </c>
      <c r="X56" s="9">
        <v>15</v>
      </c>
      <c r="Y56" s="1">
        <f t="shared" si="5"/>
        <v>424.35</v>
      </c>
      <c r="ZG56" s="4" t="s">
        <v>73</v>
      </c>
    </row>
    <row r="57" spans="1:683" x14ac:dyDescent="0.25">
      <c r="A57" s="1" t="s">
        <v>314</v>
      </c>
      <c r="C57" s="1" t="s">
        <v>314</v>
      </c>
      <c r="D57" s="1" t="s">
        <v>308</v>
      </c>
      <c r="E57" s="1" t="s">
        <v>373</v>
      </c>
      <c r="F57" s="1" t="s">
        <v>428</v>
      </c>
      <c r="G57" s="9" t="s">
        <v>77</v>
      </c>
      <c r="H57" s="1" t="s">
        <v>361</v>
      </c>
      <c r="J57" s="9" t="s">
        <v>265</v>
      </c>
      <c r="K57" s="1" t="s">
        <v>269</v>
      </c>
      <c r="L57" s="9">
        <v>41</v>
      </c>
      <c r="M57" s="9" t="s">
        <v>267</v>
      </c>
      <c r="N57" s="9">
        <v>15</v>
      </c>
      <c r="O57" s="1">
        <f t="shared" si="3"/>
        <v>282.89999999999998</v>
      </c>
      <c r="P57" s="1" t="s">
        <v>269</v>
      </c>
      <c r="Q57" s="9">
        <v>41</v>
      </c>
      <c r="R57" s="9" t="s">
        <v>267</v>
      </c>
      <c r="S57" s="9">
        <v>15</v>
      </c>
      <c r="T57" s="1">
        <f t="shared" si="4"/>
        <v>282.89999999999998</v>
      </c>
      <c r="U57" s="1" t="s">
        <v>269</v>
      </c>
      <c r="V57" s="9">
        <v>41</v>
      </c>
      <c r="W57" s="9" t="s">
        <v>267</v>
      </c>
      <c r="X57" s="9">
        <v>15</v>
      </c>
      <c r="Y57" s="1">
        <f t="shared" si="5"/>
        <v>282.89999999999998</v>
      </c>
      <c r="ZG57" s="4" t="s">
        <v>74</v>
      </c>
    </row>
    <row r="58" spans="1:683" x14ac:dyDescent="0.25">
      <c r="A58" s="1" t="s">
        <v>313</v>
      </c>
      <c r="C58" s="1" t="s">
        <v>313</v>
      </c>
      <c r="D58" s="1" t="s">
        <v>308</v>
      </c>
      <c r="E58" s="1" t="s">
        <v>372</v>
      </c>
      <c r="F58" s="1" t="s">
        <v>428</v>
      </c>
      <c r="G58" s="9" t="s">
        <v>76</v>
      </c>
      <c r="H58" s="1" t="s">
        <v>361</v>
      </c>
      <c r="J58" s="9" t="s">
        <v>265</v>
      </c>
      <c r="K58" s="1" t="s">
        <v>269</v>
      </c>
      <c r="L58" s="9">
        <v>45</v>
      </c>
      <c r="M58" s="9" t="s">
        <v>267</v>
      </c>
      <c r="N58" s="9">
        <v>15</v>
      </c>
      <c r="O58" s="1">
        <f t="shared" si="3"/>
        <v>310.5</v>
      </c>
      <c r="P58" s="1" t="s">
        <v>269</v>
      </c>
      <c r="Q58" s="9">
        <v>45</v>
      </c>
      <c r="R58" s="9" t="s">
        <v>267</v>
      </c>
      <c r="S58" s="9">
        <v>15</v>
      </c>
      <c r="T58" s="1">
        <f t="shared" si="4"/>
        <v>310.5</v>
      </c>
      <c r="U58" s="1" t="s">
        <v>269</v>
      </c>
      <c r="V58" s="9">
        <v>45</v>
      </c>
      <c r="W58" s="9" t="s">
        <v>267</v>
      </c>
      <c r="X58" s="9">
        <v>15</v>
      </c>
      <c r="Y58" s="1">
        <f t="shared" si="5"/>
        <v>310.5</v>
      </c>
      <c r="ZG58" s="4" t="s">
        <v>75</v>
      </c>
    </row>
    <row r="59" spans="1:683" x14ac:dyDescent="0.25">
      <c r="A59" s="1" t="s">
        <v>312</v>
      </c>
      <c r="C59" s="1" t="s">
        <v>312</v>
      </c>
      <c r="D59" s="1" t="s">
        <v>308</v>
      </c>
      <c r="E59" s="1" t="s">
        <v>371</v>
      </c>
      <c r="F59" s="1" t="s">
        <v>428</v>
      </c>
      <c r="G59" s="9" t="s">
        <v>213</v>
      </c>
      <c r="H59" s="1" t="s">
        <v>361</v>
      </c>
      <c r="J59" s="9" t="s">
        <v>265</v>
      </c>
      <c r="K59" s="1" t="s">
        <v>268</v>
      </c>
      <c r="L59" s="9">
        <v>41</v>
      </c>
      <c r="M59" s="9" t="s">
        <v>267</v>
      </c>
      <c r="N59" s="9">
        <v>15</v>
      </c>
      <c r="O59" s="1">
        <f t="shared" si="3"/>
        <v>141.44999999999999</v>
      </c>
      <c r="P59" s="1" t="s">
        <v>268</v>
      </c>
      <c r="Q59" s="9">
        <v>41</v>
      </c>
      <c r="R59" s="9" t="s">
        <v>267</v>
      </c>
      <c r="S59" s="9">
        <v>15</v>
      </c>
      <c r="T59" s="1">
        <f t="shared" si="4"/>
        <v>141.44999999999999</v>
      </c>
      <c r="U59" s="1" t="s">
        <v>268</v>
      </c>
      <c r="V59" s="9">
        <v>41</v>
      </c>
      <c r="W59" s="9" t="s">
        <v>267</v>
      </c>
      <c r="X59" s="9">
        <v>15</v>
      </c>
      <c r="Y59" s="1">
        <f t="shared" si="5"/>
        <v>141.44999999999999</v>
      </c>
      <c r="ZG59" s="4" t="s">
        <v>76</v>
      </c>
    </row>
    <row r="60" spans="1:683" x14ac:dyDescent="0.25">
      <c r="A60" s="1" t="s">
        <v>311</v>
      </c>
      <c r="C60" s="1" t="s">
        <v>311</v>
      </c>
      <c r="D60" s="1" t="s">
        <v>308</v>
      </c>
      <c r="E60" s="1" t="s">
        <v>370</v>
      </c>
      <c r="F60" s="1" t="s">
        <v>428</v>
      </c>
      <c r="G60" s="9" t="s">
        <v>77</v>
      </c>
      <c r="H60" s="1" t="s">
        <v>361</v>
      </c>
      <c r="J60" s="9" t="s">
        <v>265</v>
      </c>
      <c r="K60" s="1" t="s">
        <v>268</v>
      </c>
      <c r="L60" s="9">
        <v>41</v>
      </c>
      <c r="M60" s="9" t="s">
        <v>267</v>
      </c>
      <c r="N60" s="9">
        <v>15</v>
      </c>
      <c r="O60" s="1">
        <f t="shared" si="3"/>
        <v>141.44999999999999</v>
      </c>
      <c r="P60" s="1" t="s">
        <v>268</v>
      </c>
      <c r="Q60" s="9">
        <v>41</v>
      </c>
      <c r="R60" s="9" t="s">
        <v>267</v>
      </c>
      <c r="S60" s="9">
        <v>15</v>
      </c>
      <c r="T60" s="1">
        <f t="shared" si="4"/>
        <v>141.44999999999999</v>
      </c>
      <c r="U60" s="1" t="s">
        <v>268</v>
      </c>
      <c r="V60" s="9">
        <v>41</v>
      </c>
      <c r="W60" s="9" t="s">
        <v>267</v>
      </c>
      <c r="X60" s="9">
        <v>15</v>
      </c>
      <c r="Y60" s="1">
        <f t="shared" si="5"/>
        <v>141.44999999999999</v>
      </c>
      <c r="ZG60" s="4" t="s">
        <v>77</v>
      </c>
    </row>
    <row r="61" spans="1:683" x14ac:dyDescent="0.25">
      <c r="A61" s="1" t="s">
        <v>310</v>
      </c>
      <c r="C61" s="1" t="s">
        <v>310</v>
      </c>
      <c r="D61" s="1" t="s">
        <v>308</v>
      </c>
      <c r="E61" s="1" t="s">
        <v>369</v>
      </c>
      <c r="F61" s="1" t="s">
        <v>428</v>
      </c>
      <c r="G61" s="9" t="s">
        <v>77</v>
      </c>
      <c r="H61" s="1" t="s">
        <v>361</v>
      </c>
      <c r="J61" s="9" t="s">
        <v>265</v>
      </c>
      <c r="K61" s="1" t="s">
        <v>268</v>
      </c>
      <c r="L61" s="9">
        <v>41</v>
      </c>
      <c r="M61" s="9" t="s">
        <v>267</v>
      </c>
      <c r="N61" s="9">
        <v>15</v>
      </c>
      <c r="O61" s="1">
        <f t="shared" si="3"/>
        <v>141.44999999999999</v>
      </c>
      <c r="P61" s="1" t="s">
        <v>268</v>
      </c>
      <c r="Q61" s="9">
        <v>41</v>
      </c>
      <c r="R61" s="9" t="s">
        <v>267</v>
      </c>
      <c r="S61" s="9">
        <v>15</v>
      </c>
      <c r="T61" s="1">
        <f t="shared" si="4"/>
        <v>141.44999999999999</v>
      </c>
      <c r="U61" s="1" t="s">
        <v>268</v>
      </c>
      <c r="V61" s="9">
        <v>41</v>
      </c>
      <c r="W61" s="9" t="s">
        <v>267</v>
      </c>
      <c r="X61" s="9">
        <v>15</v>
      </c>
      <c r="Y61" s="1">
        <f t="shared" si="5"/>
        <v>141.44999999999999</v>
      </c>
      <c r="ZG61" s="4" t="s">
        <v>78</v>
      </c>
    </row>
    <row r="62" spans="1:683" x14ac:dyDescent="0.25">
      <c r="A62" s="1" t="s">
        <v>309</v>
      </c>
      <c r="C62" s="1" t="s">
        <v>309</v>
      </c>
      <c r="D62" s="1" t="s">
        <v>308</v>
      </c>
      <c r="E62" s="1" t="s">
        <v>368</v>
      </c>
      <c r="F62" s="1" t="s">
        <v>428</v>
      </c>
      <c r="G62" s="9" t="s">
        <v>76</v>
      </c>
      <c r="H62" s="1" t="s">
        <v>361</v>
      </c>
      <c r="J62" s="9" t="s">
        <v>265</v>
      </c>
      <c r="K62" s="1" t="s">
        <v>268</v>
      </c>
      <c r="L62" s="9">
        <v>41</v>
      </c>
      <c r="M62" s="9" t="s">
        <v>267</v>
      </c>
      <c r="N62" s="9">
        <v>15</v>
      </c>
      <c r="O62" s="1">
        <f t="shared" si="3"/>
        <v>141.44999999999999</v>
      </c>
      <c r="P62" s="1" t="s">
        <v>268</v>
      </c>
      <c r="Q62" s="9">
        <v>41</v>
      </c>
      <c r="R62" s="9" t="s">
        <v>267</v>
      </c>
      <c r="S62" s="9">
        <v>15</v>
      </c>
      <c r="T62" s="1">
        <f t="shared" si="4"/>
        <v>141.44999999999999</v>
      </c>
      <c r="U62" s="1" t="s">
        <v>268</v>
      </c>
      <c r="V62" s="9">
        <v>41</v>
      </c>
      <c r="W62" s="9" t="s">
        <v>267</v>
      </c>
      <c r="X62" s="9">
        <v>15</v>
      </c>
      <c r="Y62" s="1">
        <f t="shared" si="5"/>
        <v>141.44999999999999</v>
      </c>
      <c r="ZG62" s="4" t="s">
        <v>79</v>
      </c>
    </row>
    <row r="63" spans="1:683" x14ac:dyDescent="0.25">
      <c r="ZG63" s="4" t="s">
        <v>80</v>
      </c>
    </row>
    <row r="64" spans="1:683" x14ac:dyDescent="0.25">
      <c r="ZG64" s="4" t="s">
        <v>81</v>
      </c>
    </row>
    <row r="65" spans="683:683" x14ac:dyDescent="0.25">
      <c r="ZG65" s="4" t="s">
        <v>82</v>
      </c>
    </row>
    <row r="66" spans="683:683" x14ac:dyDescent="0.25">
      <c r="ZG66" s="4" t="s">
        <v>83</v>
      </c>
    </row>
    <row r="67" spans="683:683" x14ac:dyDescent="0.25">
      <c r="ZG67" s="4" t="s">
        <v>84</v>
      </c>
    </row>
    <row r="68" spans="683:683" x14ac:dyDescent="0.25">
      <c r="ZG68" s="4" t="s">
        <v>85</v>
      </c>
    </row>
    <row r="69" spans="683:683" x14ac:dyDescent="0.25">
      <c r="ZG69" s="4" t="s">
        <v>86</v>
      </c>
    </row>
    <row r="70" spans="683:683" x14ac:dyDescent="0.25">
      <c r="ZG70" s="4" t="s">
        <v>87</v>
      </c>
    </row>
    <row r="71" spans="683:683" x14ac:dyDescent="0.25">
      <c r="ZG71" s="4" t="s">
        <v>88</v>
      </c>
    </row>
    <row r="72" spans="683:683" x14ac:dyDescent="0.25">
      <c r="ZG72" s="4" t="s">
        <v>89</v>
      </c>
    </row>
    <row r="73" spans="683:683" x14ac:dyDescent="0.25">
      <c r="ZG73" s="4" t="s">
        <v>90</v>
      </c>
    </row>
    <row r="74" spans="683:683" x14ac:dyDescent="0.25">
      <c r="ZG74" s="4" t="s">
        <v>91</v>
      </c>
    </row>
    <row r="75" spans="683:683" x14ac:dyDescent="0.25">
      <c r="ZG75" s="4" t="s">
        <v>92</v>
      </c>
    </row>
    <row r="76" spans="683:683" x14ac:dyDescent="0.25">
      <c r="ZG76" s="4" t="s">
        <v>93</v>
      </c>
    </row>
    <row r="77" spans="683:683" x14ac:dyDescent="0.25">
      <c r="ZG77" s="4" t="s">
        <v>94</v>
      </c>
    </row>
    <row r="78" spans="683:683" x14ac:dyDescent="0.25">
      <c r="ZG78" s="4" t="s">
        <v>95</v>
      </c>
    </row>
    <row r="79" spans="683:683" x14ac:dyDescent="0.25">
      <c r="ZG79" s="4" t="s">
        <v>96</v>
      </c>
    </row>
    <row r="80" spans="683:683" x14ac:dyDescent="0.25">
      <c r="ZG80" s="4" t="s">
        <v>97</v>
      </c>
    </row>
    <row r="81" spans="683:683" x14ac:dyDescent="0.25">
      <c r="ZG81" s="4" t="s">
        <v>98</v>
      </c>
    </row>
    <row r="82" spans="683:683" x14ac:dyDescent="0.25">
      <c r="ZG82" s="4" t="s">
        <v>99</v>
      </c>
    </row>
    <row r="83" spans="683:683" x14ac:dyDescent="0.25">
      <c r="ZG83" s="4" t="s">
        <v>100</v>
      </c>
    </row>
    <row r="84" spans="683:683" x14ac:dyDescent="0.25">
      <c r="ZG84" s="4" t="s">
        <v>101</v>
      </c>
    </row>
    <row r="85" spans="683:683" x14ac:dyDescent="0.25">
      <c r="ZG85" s="4" t="s">
        <v>102</v>
      </c>
    </row>
    <row r="86" spans="683:683" x14ac:dyDescent="0.25">
      <c r="ZG86" s="4" t="s">
        <v>103</v>
      </c>
    </row>
    <row r="87" spans="683:683" x14ac:dyDescent="0.25">
      <c r="ZG87" s="4" t="s">
        <v>104</v>
      </c>
    </row>
    <row r="88" spans="683:683" x14ac:dyDescent="0.25">
      <c r="ZG88" s="4" t="s">
        <v>105</v>
      </c>
    </row>
    <row r="89" spans="683:683" x14ac:dyDescent="0.25">
      <c r="ZG89" s="4" t="s">
        <v>106</v>
      </c>
    </row>
    <row r="90" spans="683:683" x14ac:dyDescent="0.25">
      <c r="ZG90" s="4" t="s">
        <v>107</v>
      </c>
    </row>
    <row r="91" spans="683:683" x14ac:dyDescent="0.25">
      <c r="ZG91" s="4" t="s">
        <v>108</v>
      </c>
    </row>
    <row r="92" spans="683:683" x14ac:dyDescent="0.25">
      <c r="ZG92" s="4" t="s">
        <v>109</v>
      </c>
    </row>
    <row r="93" spans="683:683" x14ac:dyDescent="0.25">
      <c r="ZG93" s="4" t="s">
        <v>110</v>
      </c>
    </row>
    <row r="94" spans="683:683" x14ac:dyDescent="0.25">
      <c r="ZG94" s="4" t="s">
        <v>111</v>
      </c>
    </row>
    <row r="95" spans="683:683" x14ac:dyDescent="0.25">
      <c r="ZG95" s="4" t="s">
        <v>112</v>
      </c>
    </row>
    <row r="96" spans="683:683" x14ac:dyDescent="0.25">
      <c r="ZG96" s="4" t="s">
        <v>113</v>
      </c>
    </row>
    <row r="97" spans="683:683" x14ac:dyDescent="0.25">
      <c r="ZG97" s="4" t="s">
        <v>114</v>
      </c>
    </row>
    <row r="98" spans="683:683" x14ac:dyDescent="0.25">
      <c r="ZG98" s="4" t="s">
        <v>115</v>
      </c>
    </row>
    <row r="99" spans="683:683" x14ac:dyDescent="0.25">
      <c r="ZG99" s="4" t="s">
        <v>116</v>
      </c>
    </row>
    <row r="100" spans="683:683" x14ac:dyDescent="0.25">
      <c r="ZG100" s="4" t="s">
        <v>117</v>
      </c>
    </row>
    <row r="101" spans="683:683" x14ac:dyDescent="0.25">
      <c r="ZG101" s="4" t="s">
        <v>118</v>
      </c>
    </row>
    <row r="102" spans="683:683" x14ac:dyDescent="0.25">
      <c r="ZG102" s="4" t="s">
        <v>119</v>
      </c>
    </row>
    <row r="103" spans="683:683" x14ac:dyDescent="0.25">
      <c r="ZG103" s="4" t="s">
        <v>120</v>
      </c>
    </row>
    <row r="104" spans="683:683" x14ac:dyDescent="0.25">
      <c r="ZG104" s="4" t="s">
        <v>121</v>
      </c>
    </row>
    <row r="105" spans="683:683" x14ac:dyDescent="0.25">
      <c r="ZG105" s="4" t="s">
        <v>122</v>
      </c>
    </row>
    <row r="106" spans="683:683" x14ac:dyDescent="0.25">
      <c r="ZG106" s="4" t="s">
        <v>123</v>
      </c>
    </row>
    <row r="107" spans="683:683" x14ac:dyDescent="0.25">
      <c r="ZG107" s="4" t="s">
        <v>124</v>
      </c>
    </row>
    <row r="108" spans="683:683" x14ac:dyDescent="0.25">
      <c r="ZG108" s="4" t="s">
        <v>125</v>
      </c>
    </row>
    <row r="109" spans="683:683" x14ac:dyDescent="0.25">
      <c r="ZG109" s="4" t="s">
        <v>126</v>
      </c>
    </row>
    <row r="110" spans="683:683" x14ac:dyDescent="0.25">
      <c r="ZG110" s="4" t="s">
        <v>127</v>
      </c>
    </row>
    <row r="111" spans="683:683" x14ac:dyDescent="0.25">
      <c r="ZG111" s="4" t="s">
        <v>128</v>
      </c>
    </row>
    <row r="112" spans="683:683" x14ac:dyDescent="0.25">
      <c r="ZG112" s="4" t="s">
        <v>129</v>
      </c>
    </row>
    <row r="113" spans="683:683" x14ac:dyDescent="0.25">
      <c r="ZG113" s="4" t="s">
        <v>130</v>
      </c>
    </row>
    <row r="114" spans="683:683" x14ac:dyDescent="0.25">
      <c r="ZG114" s="4" t="s">
        <v>131</v>
      </c>
    </row>
    <row r="115" spans="683:683" x14ac:dyDescent="0.25">
      <c r="ZG115" s="4" t="s">
        <v>132</v>
      </c>
    </row>
    <row r="116" spans="683:683" x14ac:dyDescent="0.25">
      <c r="ZG116" s="4" t="s">
        <v>133</v>
      </c>
    </row>
    <row r="117" spans="683:683" x14ac:dyDescent="0.25">
      <c r="ZG117" s="4" t="s">
        <v>134</v>
      </c>
    </row>
    <row r="118" spans="683:683" x14ac:dyDescent="0.25">
      <c r="ZG118" s="4" t="s">
        <v>135</v>
      </c>
    </row>
    <row r="119" spans="683:683" x14ac:dyDescent="0.25">
      <c r="ZG119" s="4" t="s">
        <v>136</v>
      </c>
    </row>
    <row r="120" spans="683:683" x14ac:dyDescent="0.25">
      <c r="ZG120" s="4" t="s">
        <v>137</v>
      </c>
    </row>
    <row r="121" spans="683:683" x14ac:dyDescent="0.25">
      <c r="ZG121" s="4" t="s">
        <v>138</v>
      </c>
    </row>
    <row r="122" spans="683:683" x14ac:dyDescent="0.25">
      <c r="ZG122" s="4" t="s">
        <v>139</v>
      </c>
    </row>
    <row r="123" spans="683:683" x14ac:dyDescent="0.25">
      <c r="ZG123" s="4" t="s">
        <v>140</v>
      </c>
    </row>
    <row r="124" spans="683:683" x14ac:dyDescent="0.25">
      <c r="ZG124" s="4" t="s">
        <v>141</v>
      </c>
    </row>
    <row r="125" spans="683:683" x14ac:dyDescent="0.25">
      <c r="ZG125" s="4" t="s">
        <v>142</v>
      </c>
    </row>
    <row r="126" spans="683:683" x14ac:dyDescent="0.25">
      <c r="ZG126" s="4" t="s">
        <v>143</v>
      </c>
    </row>
    <row r="127" spans="683:683" x14ac:dyDescent="0.25">
      <c r="ZG127" s="4" t="s">
        <v>144</v>
      </c>
    </row>
    <row r="128" spans="683:683" x14ac:dyDescent="0.25">
      <c r="ZG128" s="4" t="s">
        <v>145</v>
      </c>
    </row>
    <row r="129" spans="683:683" x14ac:dyDescent="0.25">
      <c r="ZG129" s="4" t="s">
        <v>146</v>
      </c>
    </row>
    <row r="130" spans="683:683" x14ac:dyDescent="0.25">
      <c r="ZG130" s="4" t="s">
        <v>147</v>
      </c>
    </row>
    <row r="131" spans="683:683" x14ac:dyDescent="0.25">
      <c r="ZG131" s="4" t="s">
        <v>148</v>
      </c>
    </row>
    <row r="132" spans="683:683" x14ac:dyDescent="0.25">
      <c r="ZG132" s="4" t="s">
        <v>149</v>
      </c>
    </row>
    <row r="133" spans="683:683" x14ac:dyDescent="0.25">
      <c r="ZG133" s="4" t="s">
        <v>150</v>
      </c>
    </row>
    <row r="134" spans="683:683" x14ac:dyDescent="0.25">
      <c r="ZG134" s="4" t="s">
        <v>151</v>
      </c>
    </row>
    <row r="135" spans="683:683" x14ac:dyDescent="0.25">
      <c r="ZG135" s="4" t="s">
        <v>152</v>
      </c>
    </row>
    <row r="136" spans="683:683" x14ac:dyDescent="0.25">
      <c r="ZG136" s="4" t="s">
        <v>153</v>
      </c>
    </row>
    <row r="137" spans="683:683" x14ac:dyDescent="0.25">
      <c r="ZG137" s="4" t="s">
        <v>154</v>
      </c>
    </row>
    <row r="138" spans="683:683" x14ac:dyDescent="0.25">
      <c r="ZG138" s="4" t="s">
        <v>155</v>
      </c>
    </row>
    <row r="139" spans="683:683" x14ac:dyDescent="0.25">
      <c r="ZG139" s="4" t="s">
        <v>156</v>
      </c>
    </row>
    <row r="140" spans="683:683" x14ac:dyDescent="0.25">
      <c r="ZG140" s="4" t="s">
        <v>157</v>
      </c>
    </row>
    <row r="141" spans="683:683" x14ac:dyDescent="0.25">
      <c r="ZG141" s="4" t="s">
        <v>158</v>
      </c>
    </row>
    <row r="142" spans="683:683" x14ac:dyDescent="0.25">
      <c r="ZG142" s="4" t="s">
        <v>159</v>
      </c>
    </row>
    <row r="143" spans="683:683" x14ac:dyDescent="0.25">
      <c r="ZG143" s="4" t="s">
        <v>160</v>
      </c>
    </row>
    <row r="144" spans="683:683" x14ac:dyDescent="0.25">
      <c r="ZG144" s="4" t="s">
        <v>161</v>
      </c>
    </row>
    <row r="145" spans="683:683" x14ac:dyDescent="0.25">
      <c r="ZG145" s="4" t="s">
        <v>162</v>
      </c>
    </row>
    <row r="146" spans="683:683" x14ac:dyDescent="0.25">
      <c r="ZG146" s="4" t="s">
        <v>163</v>
      </c>
    </row>
    <row r="147" spans="683:683" x14ac:dyDescent="0.25">
      <c r="ZG147" s="4" t="s">
        <v>164</v>
      </c>
    </row>
    <row r="148" spans="683:683" x14ac:dyDescent="0.25">
      <c r="ZG148" s="4" t="s">
        <v>165</v>
      </c>
    </row>
    <row r="149" spans="683:683" x14ac:dyDescent="0.25">
      <c r="ZG149" s="4" t="s">
        <v>166</v>
      </c>
    </row>
    <row r="150" spans="683:683" x14ac:dyDescent="0.25">
      <c r="ZG150" s="4" t="s">
        <v>167</v>
      </c>
    </row>
    <row r="151" spans="683:683" x14ac:dyDescent="0.25">
      <c r="ZG151" s="4" t="s">
        <v>168</v>
      </c>
    </row>
    <row r="152" spans="683:683" x14ac:dyDescent="0.25">
      <c r="ZG152" s="4" t="s">
        <v>169</v>
      </c>
    </row>
    <row r="153" spans="683:683" x14ac:dyDescent="0.25">
      <c r="ZG153" s="4" t="s">
        <v>170</v>
      </c>
    </row>
    <row r="154" spans="683:683" x14ac:dyDescent="0.25">
      <c r="ZG154" s="4" t="s">
        <v>171</v>
      </c>
    </row>
    <row r="155" spans="683:683" x14ac:dyDescent="0.25">
      <c r="ZG155" s="4" t="s">
        <v>172</v>
      </c>
    </row>
    <row r="156" spans="683:683" x14ac:dyDescent="0.25">
      <c r="ZG156" s="4" t="s">
        <v>173</v>
      </c>
    </row>
    <row r="157" spans="683:683" x14ac:dyDescent="0.25">
      <c r="ZG157" s="4" t="s">
        <v>174</v>
      </c>
    </row>
    <row r="158" spans="683:683" x14ac:dyDescent="0.25">
      <c r="ZG158" s="4" t="s">
        <v>175</v>
      </c>
    </row>
    <row r="159" spans="683:683" x14ac:dyDescent="0.25">
      <c r="ZG159" s="4" t="s">
        <v>176</v>
      </c>
    </row>
    <row r="160" spans="683:683" x14ac:dyDescent="0.25">
      <c r="ZG160" s="4" t="s">
        <v>177</v>
      </c>
    </row>
    <row r="161" spans="683:683" x14ac:dyDescent="0.25">
      <c r="ZG161" s="4" t="s">
        <v>178</v>
      </c>
    </row>
    <row r="162" spans="683:683" x14ac:dyDescent="0.25">
      <c r="ZG162" s="4" t="s">
        <v>179</v>
      </c>
    </row>
    <row r="163" spans="683:683" x14ac:dyDescent="0.25">
      <c r="ZG163" s="4" t="s">
        <v>180</v>
      </c>
    </row>
    <row r="164" spans="683:683" x14ac:dyDescent="0.25">
      <c r="ZG164" s="4" t="s">
        <v>181</v>
      </c>
    </row>
    <row r="165" spans="683:683" x14ac:dyDescent="0.25">
      <c r="ZG165" s="4" t="s">
        <v>182</v>
      </c>
    </row>
    <row r="166" spans="683:683" x14ac:dyDescent="0.25">
      <c r="ZG166" s="4" t="s">
        <v>183</v>
      </c>
    </row>
    <row r="167" spans="683:683" x14ac:dyDescent="0.25">
      <c r="ZG167" s="4" t="s">
        <v>184</v>
      </c>
    </row>
    <row r="168" spans="683:683" x14ac:dyDescent="0.25">
      <c r="ZG168" s="4" t="s">
        <v>185</v>
      </c>
    </row>
    <row r="169" spans="683:683" x14ac:dyDescent="0.25">
      <c r="ZG169" s="4" t="s">
        <v>186</v>
      </c>
    </row>
    <row r="170" spans="683:683" x14ac:dyDescent="0.25">
      <c r="ZG170" s="4" t="s">
        <v>187</v>
      </c>
    </row>
    <row r="171" spans="683:683" x14ac:dyDescent="0.25">
      <c r="ZG171" s="4" t="s">
        <v>188</v>
      </c>
    </row>
    <row r="172" spans="683:683" x14ac:dyDescent="0.25">
      <c r="ZG172" s="4" t="s">
        <v>189</v>
      </c>
    </row>
    <row r="173" spans="683:683" x14ac:dyDescent="0.25">
      <c r="ZG173" s="4" t="s">
        <v>190</v>
      </c>
    </row>
    <row r="174" spans="683:683" x14ac:dyDescent="0.25">
      <c r="ZG174" s="4" t="s">
        <v>191</v>
      </c>
    </row>
    <row r="175" spans="683:683" x14ac:dyDescent="0.25">
      <c r="ZG175" s="4" t="s">
        <v>192</v>
      </c>
    </row>
    <row r="176" spans="683:683" x14ac:dyDescent="0.25">
      <c r="ZG176" s="4" t="s">
        <v>193</v>
      </c>
    </row>
    <row r="177" spans="683:683" x14ac:dyDescent="0.25">
      <c r="ZG177" s="4" t="s">
        <v>194</v>
      </c>
    </row>
    <row r="178" spans="683:683" x14ac:dyDescent="0.25">
      <c r="ZG178" s="4" t="s">
        <v>195</v>
      </c>
    </row>
    <row r="179" spans="683:683" x14ac:dyDescent="0.25">
      <c r="ZG179" s="4" t="s">
        <v>196</v>
      </c>
    </row>
    <row r="180" spans="683:683" x14ac:dyDescent="0.25">
      <c r="ZG180" s="4" t="s">
        <v>197</v>
      </c>
    </row>
    <row r="181" spans="683:683" x14ac:dyDescent="0.25">
      <c r="ZG181" s="4" t="s">
        <v>198</v>
      </c>
    </row>
    <row r="182" spans="683:683" x14ac:dyDescent="0.25">
      <c r="ZG182" s="4" t="s">
        <v>199</v>
      </c>
    </row>
    <row r="183" spans="683:683" x14ac:dyDescent="0.25">
      <c r="ZG183" s="4" t="s">
        <v>200</v>
      </c>
    </row>
    <row r="184" spans="683:683" x14ac:dyDescent="0.25">
      <c r="ZG184" s="4" t="s">
        <v>201</v>
      </c>
    </row>
    <row r="185" spans="683:683" x14ac:dyDescent="0.25">
      <c r="ZG185" s="4" t="s">
        <v>202</v>
      </c>
    </row>
    <row r="186" spans="683:683" x14ac:dyDescent="0.25">
      <c r="ZG186" s="4" t="s">
        <v>203</v>
      </c>
    </row>
    <row r="187" spans="683:683" x14ac:dyDescent="0.25">
      <c r="ZG187" s="4" t="s">
        <v>204</v>
      </c>
    </row>
    <row r="188" spans="683:683" x14ac:dyDescent="0.25">
      <c r="ZG188" s="4" t="s">
        <v>205</v>
      </c>
    </row>
    <row r="189" spans="683:683" x14ac:dyDescent="0.25">
      <c r="ZG189" s="4" t="s">
        <v>206</v>
      </c>
    </row>
    <row r="190" spans="683:683" x14ac:dyDescent="0.25">
      <c r="ZG190" s="4" t="s">
        <v>207</v>
      </c>
    </row>
    <row r="191" spans="683:683" x14ac:dyDescent="0.25">
      <c r="ZG191" s="4" t="s">
        <v>208</v>
      </c>
    </row>
    <row r="192" spans="683:683" x14ac:dyDescent="0.25">
      <c r="ZG192" s="4" t="s">
        <v>209</v>
      </c>
    </row>
    <row r="193" spans="683:683" x14ac:dyDescent="0.25">
      <c r="ZG193" s="4" t="s">
        <v>210</v>
      </c>
    </row>
    <row r="194" spans="683:683" x14ac:dyDescent="0.25">
      <c r="ZG194" s="4" t="s">
        <v>211</v>
      </c>
    </row>
    <row r="195" spans="683:683" x14ac:dyDescent="0.25">
      <c r="ZG195" s="4" t="s">
        <v>212</v>
      </c>
    </row>
    <row r="196" spans="683:683" x14ac:dyDescent="0.25">
      <c r="ZG196" s="4" t="s">
        <v>213</v>
      </c>
    </row>
    <row r="197" spans="683:683" x14ac:dyDescent="0.25">
      <c r="ZG197" s="4" t="s">
        <v>214</v>
      </c>
    </row>
    <row r="198" spans="683:683" x14ac:dyDescent="0.25">
      <c r="ZG198" s="4" t="s">
        <v>215</v>
      </c>
    </row>
    <row r="199" spans="683:683" x14ac:dyDescent="0.25">
      <c r="ZG199" s="4" t="s">
        <v>216</v>
      </c>
    </row>
    <row r="200" spans="683:683" x14ac:dyDescent="0.25">
      <c r="ZG200" s="4" t="s">
        <v>217</v>
      </c>
    </row>
    <row r="201" spans="683:683" x14ac:dyDescent="0.25">
      <c r="ZG201" s="4" t="s">
        <v>218</v>
      </c>
    </row>
    <row r="202" spans="683:683" x14ac:dyDescent="0.25">
      <c r="ZG202" s="4" t="s">
        <v>219</v>
      </c>
    </row>
    <row r="203" spans="683:683" x14ac:dyDescent="0.25">
      <c r="ZG203" s="4" t="s">
        <v>220</v>
      </c>
    </row>
    <row r="204" spans="683:683" x14ac:dyDescent="0.25">
      <c r="ZG204" s="4" t="s">
        <v>221</v>
      </c>
    </row>
    <row r="205" spans="683:683" x14ac:dyDescent="0.25">
      <c r="ZG205" s="4" t="s">
        <v>222</v>
      </c>
    </row>
    <row r="206" spans="683:683" x14ac:dyDescent="0.25">
      <c r="ZG206" s="4" t="s">
        <v>223</v>
      </c>
    </row>
    <row r="207" spans="683:683" x14ac:dyDescent="0.25">
      <c r="ZG207" s="4" t="s">
        <v>224</v>
      </c>
    </row>
    <row r="208" spans="683:683" x14ac:dyDescent="0.25">
      <c r="ZG208" s="4" t="s">
        <v>225</v>
      </c>
    </row>
    <row r="209" spans="683:683" x14ac:dyDescent="0.25">
      <c r="ZG209" s="4" t="s">
        <v>226</v>
      </c>
    </row>
    <row r="210" spans="683:683" x14ac:dyDescent="0.25">
      <c r="ZG210" s="4" t="s">
        <v>227</v>
      </c>
    </row>
    <row r="211" spans="683:683" x14ac:dyDescent="0.25">
      <c r="ZG211" s="4" t="s">
        <v>228</v>
      </c>
    </row>
    <row r="212" spans="683:683" x14ac:dyDescent="0.25">
      <c r="ZG212" s="4" t="s">
        <v>229</v>
      </c>
    </row>
    <row r="213" spans="683:683" x14ac:dyDescent="0.25">
      <c r="ZG213" s="4" t="s">
        <v>230</v>
      </c>
    </row>
    <row r="214" spans="683:683" x14ac:dyDescent="0.25">
      <c r="ZG214" s="4" t="s">
        <v>231</v>
      </c>
    </row>
    <row r="215" spans="683:683" x14ac:dyDescent="0.25">
      <c r="ZG215" s="4" t="s">
        <v>232</v>
      </c>
    </row>
    <row r="216" spans="683:683" x14ac:dyDescent="0.25">
      <c r="ZG216" s="4" t="s">
        <v>233</v>
      </c>
    </row>
    <row r="217" spans="683:683" x14ac:dyDescent="0.25">
      <c r="ZG217" s="4" t="s">
        <v>234</v>
      </c>
    </row>
    <row r="218" spans="683:683" x14ac:dyDescent="0.25">
      <c r="ZG218" s="4" t="s">
        <v>235</v>
      </c>
    </row>
    <row r="219" spans="683:683" x14ac:dyDescent="0.25">
      <c r="ZG219" s="4" t="s">
        <v>236</v>
      </c>
    </row>
    <row r="220" spans="683:683" x14ac:dyDescent="0.25">
      <c r="ZG220" s="4" t="s">
        <v>237</v>
      </c>
    </row>
    <row r="221" spans="683:683" x14ac:dyDescent="0.25">
      <c r="ZG221" s="4" t="s">
        <v>238</v>
      </c>
    </row>
    <row r="222" spans="683:683" x14ac:dyDescent="0.25">
      <c r="ZG222" s="4" t="s">
        <v>239</v>
      </c>
    </row>
    <row r="223" spans="683:683" x14ac:dyDescent="0.25">
      <c r="ZG223" s="4" t="s">
        <v>240</v>
      </c>
    </row>
    <row r="224" spans="683:683" x14ac:dyDescent="0.25">
      <c r="ZG224" s="4" t="s">
        <v>241</v>
      </c>
    </row>
    <row r="225" spans="683:683" x14ac:dyDescent="0.25">
      <c r="ZG225" s="4" t="s">
        <v>242</v>
      </c>
    </row>
    <row r="226" spans="683:683" x14ac:dyDescent="0.25">
      <c r="ZG226" s="4" t="s">
        <v>243</v>
      </c>
    </row>
    <row r="227" spans="683:683" x14ac:dyDescent="0.25">
      <c r="ZG227" s="4" t="s">
        <v>244</v>
      </c>
    </row>
    <row r="228" spans="683:683" x14ac:dyDescent="0.25">
      <c r="ZG228" s="4" t="s">
        <v>245</v>
      </c>
    </row>
    <row r="229" spans="683:683" x14ac:dyDescent="0.25">
      <c r="ZG229" s="4" t="s">
        <v>246</v>
      </c>
    </row>
    <row r="230" spans="683:683" x14ac:dyDescent="0.25">
      <c r="ZG230" s="4" t="s">
        <v>247</v>
      </c>
    </row>
    <row r="231" spans="683:683" x14ac:dyDescent="0.25">
      <c r="ZG231" s="4" t="s">
        <v>248</v>
      </c>
    </row>
    <row r="232" spans="683:683" x14ac:dyDescent="0.25">
      <c r="ZG232" s="4" t="s">
        <v>249</v>
      </c>
    </row>
    <row r="233" spans="683:683" x14ac:dyDescent="0.25">
      <c r="ZG233" s="4" t="s">
        <v>250</v>
      </c>
    </row>
    <row r="234" spans="683:683" x14ac:dyDescent="0.25">
      <c r="ZG234" s="4" t="s">
        <v>251</v>
      </c>
    </row>
    <row r="235" spans="683:683" x14ac:dyDescent="0.25">
      <c r="ZG235" s="4" t="s">
        <v>252</v>
      </c>
    </row>
    <row r="236" spans="683:683" x14ac:dyDescent="0.25">
      <c r="ZG236" s="4" t="s">
        <v>253</v>
      </c>
    </row>
    <row r="237" spans="683:683" x14ac:dyDescent="0.25">
      <c r="ZG237" s="4" t="s">
        <v>254</v>
      </c>
    </row>
    <row r="238" spans="683:683" x14ac:dyDescent="0.25">
      <c r="ZG238" s="4" t="s">
        <v>255</v>
      </c>
    </row>
    <row r="239" spans="683:683" x14ac:dyDescent="0.25">
      <c r="ZG239" s="4" t="s">
        <v>256</v>
      </c>
    </row>
    <row r="240" spans="683:683" x14ac:dyDescent="0.25">
      <c r="ZG240" s="4" t="s">
        <v>257</v>
      </c>
    </row>
    <row r="241" spans="683:683" x14ac:dyDescent="0.25">
      <c r="ZG241" s="4" t="s">
        <v>258</v>
      </c>
    </row>
    <row r="242" spans="683:683" x14ac:dyDescent="0.25">
      <c r="ZG242" s="4" t="s">
        <v>259</v>
      </c>
    </row>
    <row r="243" spans="683:683" x14ac:dyDescent="0.25">
      <c r="ZG243" s="4" t="s">
        <v>260</v>
      </c>
    </row>
    <row r="244" spans="683:683" x14ac:dyDescent="0.25">
      <c r="ZG244" s="4" t="s">
        <v>261</v>
      </c>
    </row>
    <row r="245" spans="683:683" x14ac:dyDescent="0.25">
      <c r="ZG245" s="4" t="s">
        <v>262</v>
      </c>
    </row>
    <row r="246" spans="683:683" x14ac:dyDescent="0.25">
      <c r="ZG246" s="4" t="s">
        <v>263</v>
      </c>
    </row>
  </sheetData>
  <sheetProtection password="94AB" sheet="1" objects="1"/>
  <mergeCells count="3">
    <mergeCell ref="K1:O1"/>
    <mergeCell ref="P1:T1"/>
    <mergeCell ref="U1:Y1"/>
  </mergeCells>
  <dataValidations count="11">
    <dataValidation type="whole" allowBlank="1" showInputMessage="1" showErrorMessage="1" error="الرجاء ادخال الرقم التسلسلي رقم صحيح باللغة الانجليزية 0123456789" sqref="A3:A62" xr:uid="{00000000-0002-0000-0000-000000000000}">
      <formula1>1</formula1>
      <formula2>60</formula2>
    </dataValidation>
    <dataValidation type="textLength" operator="lessThan" allowBlank="1" showInputMessage="1" showErrorMessage="1" sqref="B3:B62 E3:F62" xr:uid="{00000000-0002-0000-0000-000001000000}">
      <formula1>500</formula1>
    </dataValidation>
    <dataValidation type="textLength" operator="lessThan" allowBlank="1" showInputMessage="1" showErrorMessage="1" error="الرجاء إدخال البند من حرفين حتي 150 حرف" sqref="C3:C62" xr:uid="{00000000-0002-0000-0000-000002000000}">
      <formula1>500</formula1>
    </dataValidation>
    <dataValidation type="textLength" operator="lessThan" allowBlank="1" showInputMessage="1" showErrorMessage="1" error="الرجاء ادخال نص وحدة القياس" sqref="D3:D62" xr:uid="{00000000-0002-0000-0000-000003000000}">
      <formula1>500</formula1>
    </dataValidation>
    <dataValidation type="list" showInputMessage="1" showErrorMessage="1" errorTitle="حقل مطلوب" error="اختر بلدالمنشأ ." sqref="G3:G62" xr:uid="{00000000-0002-0000-0000-000004000000}">
      <formula1>$ZG$1:$ZG$246</formula1>
    </dataValidation>
    <dataValidation type="list" showInputMessage="1" showErrorMessage="1" errorTitle="حقل مطلوب" error="اختر حالة الصنف ." sqref="J3:J62" xr:uid="{00000000-0002-0000-0000-000005000000}">
      <formula1>$ZJ$1:$ZJ$3</formula1>
    </dataValidation>
    <dataValidation type="decimal" allowBlank="1" showInputMessage="1" showErrorMessage="1" error="الرجاء ادخال الكمية رقم صحيح باللغة الانجليزية 0123456789" sqref="K3:K62 P3:P62 U3:U62" xr:uid="{00000000-0002-0000-0000-000006000000}">
      <formula1>0</formula1>
      <formula2>1000000000</formula2>
    </dataValidation>
    <dataValidation type="decimal" allowBlank="1" showInputMessage="1" showErrorMessage="1" error="الرجاء ادخال سعر الوحدة (الريال) رقم صحيح او كسر اكبر من صفر وبحد اقصي أربع ارقام بعد العلامه العشرية باللغة الانجليزية 0123456789" sqref="L3:L62 Q3:Q62 V3:V62" xr:uid="{00000000-0002-0000-0000-000007000000}">
      <formula1>0</formula1>
      <formula2>1000000000</formula2>
    </dataValidation>
    <dataValidation type="decimal" allowBlank="1" showInputMessage="1" showErrorMessage="1" error="الرجاء ادخال نسبة الخصم للوحدة (%) رقم  من 0-100 باللغة الانجليزية 0123456789" sqref="M3:M62 R3:R62 W3:W62" xr:uid="{00000000-0002-0000-0000-000008000000}">
      <formula1>0</formula1>
      <formula2>100</formula2>
    </dataValidation>
    <dataValidation type="decimal" allowBlank="1" showInputMessage="1" showErrorMessage="1" error="الرجاء ادخال نسبة ضريبة القيمة المضافة (%) رقم  من 0-100 باللغة الانجليزية 0123456789" sqref="N3:N62 S3:S62 X3:X62" xr:uid="{00000000-0002-0000-0000-000009000000}">
      <formula1>0</formula1>
      <formula2>100</formula2>
    </dataValidation>
    <dataValidation allowBlank="1" showInputMessage="1" showErrorMessage="1" sqref="O3:O62 T3:T62 Y3:Y62" xr:uid="{00000000-0002-0000-0000-00000A000000}"/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ثالثا فلاتر زيوت المحركات ( الس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nawaf albishri</cp:lastModifiedBy>
  <dcterms:created xsi:type="dcterms:W3CDTF">2025-11-22T14:02:23Z</dcterms:created>
  <dcterms:modified xsi:type="dcterms:W3CDTF">2025-11-23T22:21:34Z</dcterms:modified>
</cp:coreProperties>
</file>