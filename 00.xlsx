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"/>
    </mc:Choice>
  </mc:AlternateContent>
  <xr:revisionPtr revIDLastSave="28" documentId="8_{B680F441-5E05-4A01-AAAE-B3F6E13660A3}" xr6:coauthVersionLast="47" xr6:coauthVersionMax="47" xr10:uidLastSave="{EA4CDB4F-3024-4B5D-ABC8-52B1633B19E3}"/>
  <bookViews>
    <workbookView xWindow="-120" yWindow="-120" windowWidth="29040" windowHeight="15720" xr2:uid="{E407EE2D-E0EA-4B7D-8352-6EC597CB418C}"/>
  </bookViews>
  <sheets>
    <sheet name="ورقة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3" i="1" l="1"/>
  <c r="S33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4" i="1"/>
  <c r="S34" i="1" s="1"/>
  <c r="R35" i="1"/>
  <c r="S35" i="1" s="1"/>
  <c r="R36" i="1"/>
  <c r="S36" i="1" s="1"/>
  <c r="R37" i="1"/>
  <c r="S37" i="1" s="1"/>
  <c r="R38" i="1"/>
  <c r="S38" i="1" s="1"/>
  <c r="R39" i="1"/>
  <c r="S39" i="1" s="1"/>
  <c r="R40" i="1"/>
  <c r="S40" i="1" s="1"/>
  <c r="R9" i="1"/>
  <c r="S9" i="1" s="1"/>
</calcChain>
</file>

<file path=xl/sharedStrings.xml><?xml version="1.0" encoding="utf-8"?>
<sst xmlns="http://schemas.openxmlformats.org/spreadsheetml/2006/main" count="153" uniqueCount="106">
  <si>
    <t>البند</t>
  </si>
  <si>
    <t>وحدة القياس</t>
  </si>
  <si>
    <t>وصف البند</t>
  </si>
  <si>
    <t>رقم 1</t>
  </si>
  <si>
    <t>علبة (1) لتر</t>
  </si>
  <si>
    <t>رقم 2</t>
  </si>
  <si>
    <t>رقم 3</t>
  </si>
  <si>
    <t>رقم 4</t>
  </si>
  <si>
    <t>رقم 5</t>
  </si>
  <si>
    <t>رقم 6</t>
  </si>
  <si>
    <t>رقم 7</t>
  </si>
  <si>
    <t>رقم 8</t>
  </si>
  <si>
    <t>جالون (4) لتر</t>
  </si>
  <si>
    <t>رقم 9</t>
  </si>
  <si>
    <t>رقم 10</t>
  </si>
  <si>
    <t>رقم 11</t>
  </si>
  <si>
    <t>رقم 12</t>
  </si>
  <si>
    <t>رقم 13</t>
  </si>
  <si>
    <t>زيت فرامل دوت 3</t>
  </si>
  <si>
    <t>رقم 14</t>
  </si>
  <si>
    <t>زيت فرامل 21</t>
  </si>
  <si>
    <t>رقم 15</t>
  </si>
  <si>
    <t>رقم 16</t>
  </si>
  <si>
    <t>زيت تروس عيار 90</t>
  </si>
  <si>
    <t>رقم 17</t>
  </si>
  <si>
    <t>زيت تروس عيار 140</t>
  </si>
  <si>
    <t>رقم 18</t>
  </si>
  <si>
    <t>رقم 19</t>
  </si>
  <si>
    <t>رقم 20</t>
  </si>
  <si>
    <t>رقم 21</t>
  </si>
  <si>
    <t>رقم 22</t>
  </si>
  <si>
    <t>رقم 23</t>
  </si>
  <si>
    <t>علبة</t>
  </si>
  <si>
    <t>رقم 24</t>
  </si>
  <si>
    <t>قارورة</t>
  </si>
  <si>
    <t>رقم 25</t>
  </si>
  <si>
    <t>ماء رديتر أصلي تركيز 40</t>
  </si>
  <si>
    <t>رقم 26</t>
  </si>
  <si>
    <t>ماء رديتر أصلي تركيز 50</t>
  </si>
  <si>
    <t>رقم 27</t>
  </si>
  <si>
    <t>قطعة</t>
  </si>
  <si>
    <t>سيفون أصلي وكالة للسيارات الصغيرة ورقي بجميع أنواعها</t>
  </si>
  <si>
    <t>رقم 28</t>
  </si>
  <si>
    <t>سيفون أصلي وكالة للسيارات الصغيرة معدني بجميع أنواعها</t>
  </si>
  <si>
    <t>رقم 29</t>
  </si>
  <si>
    <t>سيفون أصلي وكالة للسيارات المتوسطة ورقي بجميع أنواعها</t>
  </si>
  <si>
    <t>رقم 30</t>
  </si>
  <si>
    <t>سيفون أصلي وكالة للسيارات المتوسطة معدني بجميع أنواعها</t>
  </si>
  <si>
    <t>رقم 31</t>
  </si>
  <si>
    <t>سيفون أصلي وكالة للسيارات الكبيرة بجميع أنواعها</t>
  </si>
  <si>
    <t>رقم 32</t>
  </si>
  <si>
    <t>سيفون أصلي وكالة للدراجات النارية بجميع أنواعها</t>
  </si>
  <si>
    <t>سعر الوحدة</t>
  </si>
  <si>
    <t>كتابة</t>
  </si>
  <si>
    <t xml:space="preserve">الضريبة </t>
  </si>
  <si>
    <t>رقماً</t>
  </si>
  <si>
    <t xml:space="preserve">السعر الإجمالي شامل الضريبة </t>
  </si>
  <si>
    <t>أسس الأسطول</t>
  </si>
  <si>
    <t xml:space="preserve">ملاحظة/  العرض ساري لمدة 90يوم من التاريخ المحدد لتسليم العروض   </t>
  </si>
  <si>
    <t xml:space="preserve">جدول الكميات والاسعار للإتفاقية الإطارية لتأمين وتوريد جميع الزيوت وتغيرها والسيفونات وتركيبها لجميع الآليات للجهات التابعة للأمن العام بكافة مناطق المملكة
</t>
  </si>
  <si>
    <t>زيت بنزين 20W50</t>
  </si>
  <si>
    <t>زيت بنزين 5W30</t>
  </si>
  <si>
    <t>زيت بنزين 10W30</t>
  </si>
  <si>
    <t>زيت بنزين 5W20</t>
  </si>
  <si>
    <t>زيت بنزين 0W20</t>
  </si>
  <si>
    <t>زيت بنزين 0W40</t>
  </si>
  <si>
    <t>زيت بنزين 5W40</t>
  </si>
  <si>
    <t xml:space="preserve">زيت ديزل 15W40 </t>
  </si>
  <si>
    <t xml:space="preserve">20W40 زيت ديزل </t>
  </si>
  <si>
    <t xml:space="preserve">10W40  زيت ديزل </t>
  </si>
  <si>
    <t>هيدروليك عيار 10</t>
  </si>
  <si>
    <t>هيدروليك عيار 37</t>
  </si>
  <si>
    <t>زيت تروس 75W90</t>
  </si>
  <si>
    <t>زيت ناقل الحركة اتوماتيك D11</t>
  </si>
  <si>
    <t>زيت ناقل الحركة الأتوماتيكي ATF VI</t>
  </si>
  <si>
    <t>زيت ناقل الحركة الأتوماتيكي LV</t>
  </si>
  <si>
    <t>زيت ناقل الحركة الأتوماتيكي ATF WS</t>
  </si>
  <si>
    <t>زيت تروس 80W90</t>
  </si>
  <si>
    <t>شحم متعدد الأغراض</t>
  </si>
  <si>
    <t>ماء مقطر</t>
  </si>
  <si>
    <t>فقط سبعة عشر ريالاً وخمس وعشرون هللة لا غير.</t>
  </si>
  <si>
    <t>فقط أربعة وعشرون ريالاً وثلاث وسبعون هللة لا غير.</t>
  </si>
  <si>
    <t>فقط أربعة وثلاثون ريالاً وخمسون هللة لا غير.</t>
  </si>
  <si>
    <t>فقط ستون ريالاً وخمس وتسعون هللة لا غير.</t>
  </si>
  <si>
    <t>فقط سبعة وخمسون ريالاً وخمسون هللة لا غير.</t>
  </si>
  <si>
    <t>فقط تسعة وخمسون ريالاً وثمانون هللة لا غير.</t>
  </si>
  <si>
    <t>فقط خمسة عشر ريالاً وثلاث وخمسون هللة لا غير.</t>
  </si>
  <si>
    <t>فقط ستة وخمسون ريالاً وخمس وثلاثون هللة لا غير.</t>
  </si>
  <si>
    <t>فقط تسعة وستون ريالاً لا غير.</t>
  </si>
  <si>
    <t>فقط ستة وأربعون ريالاً لا غير.</t>
  </si>
  <si>
    <t>فقط واحد وخمسون ريالاً وخمس وسبعون هللة لا غير.</t>
  </si>
  <si>
    <t>فقط مائة وأربعة وثمانون ريالاً لا غير.</t>
  </si>
  <si>
    <t>فقط أربعون ريالاً وخمس وعشرون هللة لا غير.</t>
  </si>
  <si>
    <t>فقط ثمانية وعشرون ريالاً وخمس وسبعون هللة لا غير.</t>
  </si>
  <si>
    <t>فقط ريالان وثلاثون هللة لا غير.</t>
  </si>
  <si>
    <t>فقط مائة وخمسة عشر ريالاً لا غير.</t>
  </si>
  <si>
    <t>15w40</t>
  </si>
  <si>
    <t>زيت هيدرروليك عيار68</t>
  </si>
  <si>
    <t>زيت هيدروليك عيار 37</t>
  </si>
  <si>
    <t>زيت دركسون عيار 11</t>
  </si>
  <si>
    <t>ماء رديتير</t>
  </si>
  <si>
    <t>20 برميل</t>
  </si>
  <si>
    <t>30برميل</t>
  </si>
  <si>
    <t>4 برميل</t>
  </si>
  <si>
    <t>50 كرتون</t>
  </si>
  <si>
    <t>30 برميل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</si>
</sst>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ر.س.‏&quot;"/>
  </numFmts>
  <fonts count="6" x14ac:knownFonts="1">
    <font>
      <sz val="11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  <font>
      <sz val="16"/>
      <color rgb="FF1F1F1F"/>
      <name val="Arial"/>
      <family val="2"/>
      <scheme val="minor"/>
    </font>
    <font>
      <sz val="16"/>
      <color theme="1"/>
      <name val="Arial"/>
      <family val="2"/>
      <scheme val="minor"/>
    </font>
    <font>
      <sz val="16"/>
      <name val="Arial"/>
      <family val="2"/>
      <scheme val="minor"/>
    </font>
    <font>
      <sz val="16"/>
      <color theme="1"/>
      <name val="29LT Azer Medium"/>
      <family val="3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AEB92"/>
        <bgColor indexed="64"/>
      </patternFill>
    </fill>
    <fill>
      <patternFill patternType="solid">
        <fgColor rgb="FFBAE3FC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readingOrder="2"/>
    </xf>
    <xf numFmtId="0" fontId="4" fillId="6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readingOrder="2"/>
    </xf>
    <xf numFmtId="164" fontId="2" fillId="0" borderId="3" xfId="0" applyNumberFormat="1" applyFont="1" applyBorder="1" applyAlignment="1">
      <alignment horizontal="center" vertical="center" readingOrder="2"/>
    </xf>
    <xf numFmtId="164" fontId="3" fillId="2" borderId="4" xfId="0" applyNumberFormat="1" applyFont="1" applyFill="1" applyBorder="1" applyAlignment="1">
      <alignment horizontal="center" vertical="center" readingOrder="2"/>
    </xf>
    <xf numFmtId="0" fontId="2" fillId="0" borderId="17" xfId="0" applyFont="1" applyBorder="1" applyAlignment="1">
      <alignment horizontal="center" vertical="center" readingOrder="2"/>
    </xf>
    <xf numFmtId="0" fontId="2" fillId="0" borderId="5" xfId="0" applyFont="1" applyBorder="1" applyAlignment="1">
      <alignment horizontal="center" vertical="center" readingOrder="2"/>
    </xf>
    <xf numFmtId="0" fontId="2" fillId="0" borderId="3" xfId="0" applyFont="1" applyBorder="1" applyAlignment="1">
      <alignment horizontal="center" vertical="center" readingOrder="2"/>
    </xf>
    <xf numFmtId="0" fontId="2" fillId="5" borderId="1" xfId="0" applyFont="1" applyFill="1" applyBorder="1" applyAlignment="1">
      <alignment horizontal="center" vertical="center" readingOrder="2"/>
    </xf>
    <xf numFmtId="0" fontId="2" fillId="5" borderId="14" xfId="0" applyFont="1" applyFill="1" applyBorder="1" applyAlignment="1">
      <alignment horizontal="center" vertical="center" readingOrder="2"/>
    </xf>
    <xf numFmtId="0" fontId="2" fillId="5" borderId="15" xfId="0" applyFont="1" applyFill="1" applyBorder="1" applyAlignment="1">
      <alignment horizontal="center" vertical="center" readingOrder="2"/>
    </xf>
    <xf numFmtId="0" fontId="2" fillId="5" borderId="16" xfId="0" applyFont="1" applyFill="1" applyBorder="1" applyAlignment="1">
      <alignment horizontal="center" vertical="center" readingOrder="2"/>
    </xf>
    <xf numFmtId="14" fontId="5" fillId="4" borderId="0" xfId="0" applyNumberFormat="1" applyFont="1" applyFill="1" applyAlignment="1">
      <alignment horizontal="center" vertical="center"/>
    </xf>
    <xf numFmtId="14" fontId="5" fillId="4" borderId="9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readingOrder="2"/>
    </xf>
    <xf numFmtId="0" fontId="2" fillId="5" borderId="3" xfId="0" applyFont="1" applyFill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  <xf numFmtId="0" fontId="2" fillId="0" borderId="12" xfId="0" applyFont="1" applyBorder="1" applyAlignment="1">
      <alignment horizontal="center" vertical="center" readingOrder="2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BAE3FC"/>
      <color rgb="FFBBFBD0"/>
      <color rgb="FFFAE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E44C-ED74-4854-B75B-1F3538C42500}">
  <sheetPr codeName="ورقة1"/>
  <dimension ref="C1:X40"/>
  <sheetViews>
    <sheetView showGridLines="0" rightToLeft="1" tabSelected="1" topLeftCell="A3" zoomScale="70" zoomScaleNormal="70" workbookViewId="0">
      <selection activeCell="O9" sqref="O9:Q34"/>
    </sheetView>
  </sheetViews>
  <sheetFormatPr defaultRowHeight="20.25" x14ac:dyDescent="0.2"/>
  <cols>
    <col min="1" max="2" width="9" style="1"/>
    <col min="3" max="3" width="20.375" style="1" customWidth="1"/>
    <col min="4" max="4" width="9" style="1" customWidth="1"/>
    <col min="5" max="5" width="23.125" style="1" bestFit="1" customWidth="1"/>
    <col min="6" max="6" width="10.25" style="1" bestFit="1" customWidth="1"/>
    <col min="7" max="8" width="9" style="1"/>
    <col min="9" max="9" width="2.5" style="1" customWidth="1"/>
    <col min="10" max="12" width="9" style="1" hidden="1" customWidth="1"/>
    <col min="13" max="13" width="10.125" style="1" customWidth="1"/>
    <col min="14" max="14" width="5.625" style="1" bestFit="1" customWidth="1"/>
    <col min="15" max="15" width="55.625" style="1" bestFit="1" customWidth="1"/>
    <col min="16" max="16" width="13.75" style="1" bestFit="1" customWidth="1"/>
    <col min="17" max="17" width="15.125" style="1" bestFit="1" customWidth="1"/>
    <col min="18" max="18" width="13.625" style="1" bestFit="1" customWidth="1"/>
    <col min="19" max="19" width="15.125" style="1" bestFit="1" customWidth="1"/>
    <col min="20" max="23" width="9" style="1"/>
    <col min="24" max="24" width="35.375" style="1" customWidth="1"/>
    <col min="25" max="25" width="9" style="1"/>
    <col min="26" max="26" width="6.625" style="1" customWidth="1"/>
    <col min="27" max="27" width="17.375" style="1" customWidth="1"/>
    <col min="28" max="16384" width="9" style="1"/>
  </cols>
  <sheetData>
    <row r="1" spans="3:24" ht="21.75" x14ac:dyDescent="0.2"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8"/>
    </row>
    <row r="2" spans="3:24" ht="21.75" x14ac:dyDescent="0.2">
      <c r="M2" s="19" t="s">
        <v>57</v>
      </c>
      <c r="N2" s="19"/>
      <c r="O2" s="19"/>
      <c r="P2" s="19"/>
      <c r="Q2" s="19"/>
      <c r="R2" s="19"/>
      <c r="S2" s="19"/>
      <c r="T2" s="19"/>
      <c r="U2" s="19"/>
      <c r="V2" s="19"/>
      <c r="W2" s="19"/>
      <c r="X2" s="20"/>
    </row>
    <row r="3" spans="3:24" x14ac:dyDescent="0.2">
      <c r="M3" s="19" t="s">
        <v>58</v>
      </c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</row>
    <row r="4" spans="3:24" ht="21" thickBot="1" x14ac:dyDescent="0.25"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</row>
    <row r="5" spans="3:24" x14ac:dyDescent="0.2">
      <c r="M5" s="23" t="s">
        <v>59</v>
      </c>
      <c r="N5" s="23"/>
      <c r="O5" s="23"/>
      <c r="P5" s="23"/>
      <c r="Q5" s="23"/>
      <c r="R5" s="23"/>
      <c r="S5" s="23"/>
      <c r="T5" s="23"/>
      <c r="U5" s="23"/>
      <c r="V5" s="23"/>
      <c r="W5" s="23"/>
      <c r="X5" s="24"/>
    </row>
    <row r="6" spans="3:24" ht="21" thickBot="1" x14ac:dyDescent="0.25">
      <c r="M6" s="25"/>
      <c r="N6" s="25"/>
      <c r="O6" s="25"/>
      <c r="P6" s="25"/>
      <c r="Q6" s="25"/>
      <c r="R6" s="25"/>
      <c r="S6" s="26"/>
      <c r="T6" s="26"/>
      <c r="U6" s="26"/>
      <c r="V6" s="26"/>
      <c r="W6" s="26"/>
      <c r="X6" s="27"/>
    </row>
    <row r="7" spans="3:24" x14ac:dyDescent="0.2">
      <c r="M7" s="13" t="s">
        <v>0</v>
      </c>
      <c r="N7" s="14"/>
      <c r="O7" s="29" t="s">
        <v>2</v>
      </c>
      <c r="P7" s="29" t="s">
        <v>1</v>
      </c>
      <c r="Q7" s="2" t="s">
        <v>52</v>
      </c>
      <c r="R7" s="2" t="s">
        <v>54</v>
      </c>
      <c r="S7" s="28" t="s">
        <v>56</v>
      </c>
      <c r="T7" s="28"/>
      <c r="U7" s="28"/>
      <c r="V7" s="28"/>
      <c r="W7" s="28"/>
      <c r="X7" s="28"/>
    </row>
    <row r="8" spans="3:24" x14ac:dyDescent="0.2">
      <c r="M8" s="15"/>
      <c r="N8" s="16"/>
      <c r="O8" s="30"/>
      <c r="P8" s="30"/>
      <c r="Q8" s="3" t="s">
        <v>55</v>
      </c>
      <c r="R8" s="3" t="s">
        <v>55</v>
      </c>
      <c r="S8" s="3" t="s">
        <v>55</v>
      </c>
      <c r="T8" s="28" t="s">
        <v>53</v>
      </c>
      <c r="U8" s="28"/>
      <c r="V8" s="28"/>
      <c r="W8" s="28"/>
      <c r="X8" s="28"/>
    </row>
    <row r="9" spans="3:24" x14ac:dyDescent="0.2">
      <c r="M9" s="10" t="s">
        <v>3</v>
      </c>
      <c r="N9" s="11"/>
      <c r="O9" s="4" t="s">
        <v>60</v>
      </c>
      <c r="P9" s="5" t="s">
        <v>4</v>
      </c>
      <c r="Q9" s="8">
        <v>15</v>
      </c>
      <c r="R9" s="8">
        <f>Q9*0.15</f>
        <v>2.25</v>
      </c>
      <c r="S9" s="9">
        <f>Q9+R9</f>
        <v>17.25</v>
      </c>
      <c r="T9" s="31" t="s">
        <v>80</v>
      </c>
      <c r="U9" s="32"/>
      <c r="V9" s="32"/>
      <c r="W9" s="32"/>
      <c r="X9" s="11"/>
    </row>
    <row r="10" spans="3:24" x14ac:dyDescent="0.2">
      <c r="M10" s="10" t="s">
        <v>5</v>
      </c>
      <c r="N10" s="11"/>
      <c r="O10" s="6" t="s">
        <v>61</v>
      </c>
      <c r="P10" s="5" t="s">
        <v>4</v>
      </c>
      <c r="Q10" s="8">
        <v>21.5</v>
      </c>
      <c r="R10" s="8">
        <f t="shared" ref="R10:R40" si="0">Q10*0.15</f>
        <v>3.2250000000000001</v>
      </c>
      <c r="S10" s="9">
        <f t="shared" ref="S10:S40" si="1">Q10+R10</f>
        <v>24.725000000000001</v>
      </c>
      <c r="T10" s="12" t="s">
        <v>81</v>
      </c>
      <c r="U10" s="12"/>
      <c r="V10" s="12"/>
      <c r="W10" s="12"/>
      <c r="X10" s="12"/>
    </row>
    <row r="11" spans="3:24" x14ac:dyDescent="0.2">
      <c r="M11" s="10" t="s">
        <v>6</v>
      </c>
      <c r="N11" s="11"/>
      <c r="O11" s="6" t="s">
        <v>62</v>
      </c>
      <c r="P11" s="5" t="s">
        <v>4</v>
      </c>
      <c r="Q11" s="8">
        <v>15</v>
      </c>
      <c r="R11" s="8">
        <f t="shared" si="0"/>
        <v>2.25</v>
      </c>
      <c r="S11" s="9">
        <f t="shared" si="1"/>
        <v>17.25</v>
      </c>
      <c r="T11" s="12" t="s">
        <v>80</v>
      </c>
      <c r="U11" s="12"/>
      <c r="V11" s="12"/>
      <c r="W11" s="12"/>
      <c r="X11" s="12"/>
    </row>
    <row r="12" spans="3:24" x14ac:dyDescent="0.2">
      <c r="M12" s="10" t="s">
        <v>7</v>
      </c>
      <c r="N12" s="11"/>
      <c r="O12" s="6" t="s">
        <v>63</v>
      </c>
      <c r="P12" s="5" t="s">
        <v>4</v>
      </c>
      <c r="Q12" s="8">
        <v>21.5</v>
      </c>
      <c r="R12" s="8">
        <f t="shared" si="0"/>
        <v>3.2250000000000001</v>
      </c>
      <c r="S12" s="9">
        <f t="shared" si="1"/>
        <v>24.725000000000001</v>
      </c>
      <c r="T12" s="12" t="s">
        <v>81</v>
      </c>
      <c r="U12" s="12"/>
      <c r="V12" s="12"/>
      <c r="W12" s="12"/>
      <c r="X12" s="12"/>
    </row>
    <row r="13" spans="3:24" x14ac:dyDescent="0.2">
      <c r="M13" s="10" t="s">
        <v>8</v>
      </c>
      <c r="N13" s="11"/>
      <c r="O13" s="6" t="s">
        <v>64</v>
      </c>
      <c r="P13" s="5" t="s">
        <v>4</v>
      </c>
      <c r="Q13" s="8">
        <v>21.5</v>
      </c>
      <c r="R13" s="8">
        <f t="shared" si="0"/>
        <v>3.2250000000000001</v>
      </c>
      <c r="S13" s="9">
        <f t="shared" si="1"/>
        <v>24.725000000000001</v>
      </c>
      <c r="T13" s="12" t="s">
        <v>81</v>
      </c>
      <c r="U13" s="12"/>
      <c r="V13" s="12"/>
      <c r="W13" s="12"/>
      <c r="X13" s="12"/>
    </row>
    <row r="14" spans="3:24" x14ac:dyDescent="0.2">
      <c r="M14" s="10" t="s">
        <v>9</v>
      </c>
      <c r="N14" s="11"/>
      <c r="O14" s="6" t="s">
        <v>65</v>
      </c>
      <c r="P14" s="5" t="s">
        <v>4</v>
      </c>
      <c r="Q14" s="8">
        <v>30</v>
      </c>
      <c r="R14" s="8">
        <f t="shared" si="0"/>
        <v>4.5</v>
      </c>
      <c r="S14" s="9">
        <f t="shared" si="1"/>
        <v>34.5</v>
      </c>
      <c r="T14" s="12" t="s">
        <v>82</v>
      </c>
      <c r="U14" s="12"/>
      <c r="V14" s="12"/>
      <c r="W14" s="12"/>
      <c r="X14" s="12"/>
    </row>
    <row r="15" spans="3:24" x14ac:dyDescent="0.2">
      <c r="M15" s="10" t="s">
        <v>10</v>
      </c>
      <c r="N15" s="11"/>
      <c r="O15" s="6" t="s">
        <v>66</v>
      </c>
      <c r="P15" s="5" t="s">
        <v>4</v>
      </c>
      <c r="Q15" s="8">
        <v>30</v>
      </c>
      <c r="R15" s="8">
        <f t="shared" si="0"/>
        <v>4.5</v>
      </c>
      <c r="S15" s="9">
        <f t="shared" si="1"/>
        <v>34.5</v>
      </c>
      <c r="T15" s="12" t="s">
        <v>82</v>
      </c>
      <c r="U15" s="12"/>
      <c r="V15" s="12"/>
      <c r="W15" s="12"/>
      <c r="X15" s="12"/>
    </row>
    <row r="16" spans="3:24" x14ac:dyDescent="0.2">
      <c r="C16" s="1" t="s">
        <v>96</v>
      </c>
      <c r="D16" s="1" t="s">
        <v>101</v>
      </c>
      <c r="M16" s="10" t="s">
        <v>11</v>
      </c>
      <c r="N16" s="11"/>
      <c r="O16" s="6" t="s">
        <v>67</v>
      </c>
      <c r="P16" s="5" t="s">
        <v>12</v>
      </c>
      <c r="Q16" s="8">
        <v>53</v>
      </c>
      <c r="R16" s="8">
        <f t="shared" si="0"/>
        <v>7.9499999999999993</v>
      </c>
      <c r="S16" s="9">
        <f t="shared" si="1"/>
        <v>60.95</v>
      </c>
      <c r="T16" s="12" t="s">
        <v>83</v>
      </c>
      <c r="U16" s="12"/>
      <c r="V16" s="12"/>
      <c r="W16" s="12"/>
      <c r="X16" s="12"/>
    </row>
    <row r="17" spans="3:24" x14ac:dyDescent="0.2">
      <c r="C17" s="1" t="s">
        <v>97</v>
      </c>
      <c r="D17" s="1" t="s">
        <v>102</v>
      </c>
      <c r="M17" s="10" t="s">
        <v>13</v>
      </c>
      <c r="N17" s="11"/>
      <c r="O17" s="6" t="s">
        <v>68</v>
      </c>
      <c r="P17" s="5" t="s">
        <v>12</v>
      </c>
      <c r="Q17" s="8">
        <v>50</v>
      </c>
      <c r="R17" s="8">
        <f t="shared" si="0"/>
        <v>7.5</v>
      </c>
      <c r="S17" s="9">
        <f t="shared" si="1"/>
        <v>57.5</v>
      </c>
      <c r="T17" s="12" t="s">
        <v>84</v>
      </c>
      <c r="U17" s="12"/>
      <c r="V17" s="12"/>
      <c r="W17" s="12"/>
      <c r="X17" s="12"/>
    </row>
    <row r="18" spans="3:24" x14ac:dyDescent="0.2">
      <c r="C18" s="1" t="s">
        <v>98</v>
      </c>
      <c r="D18" s="1" t="s">
        <v>105</v>
      </c>
      <c r="M18" s="10" t="s">
        <v>14</v>
      </c>
      <c r="N18" s="11"/>
      <c r="O18" s="6" t="s">
        <v>69</v>
      </c>
      <c r="P18" s="5" t="s">
        <v>12</v>
      </c>
      <c r="Q18" s="8">
        <v>52</v>
      </c>
      <c r="R18" s="8">
        <f t="shared" si="0"/>
        <v>7.8</v>
      </c>
      <c r="S18" s="9">
        <f t="shared" si="1"/>
        <v>59.8</v>
      </c>
      <c r="T18" s="12" t="s">
        <v>85</v>
      </c>
      <c r="U18" s="12"/>
      <c r="V18" s="12"/>
      <c r="W18" s="12"/>
      <c r="X18" s="12"/>
    </row>
    <row r="19" spans="3:24" x14ac:dyDescent="0.2">
      <c r="C19" s="1" t="s">
        <v>99</v>
      </c>
      <c r="D19" s="1" t="s">
        <v>103</v>
      </c>
      <c r="M19" s="10" t="s">
        <v>15</v>
      </c>
      <c r="N19" s="11"/>
      <c r="O19" s="6" t="s">
        <v>70</v>
      </c>
      <c r="P19" s="5" t="s">
        <v>4</v>
      </c>
      <c r="Q19" s="8">
        <v>15</v>
      </c>
      <c r="R19" s="8">
        <f t="shared" si="0"/>
        <v>2.25</v>
      </c>
      <c r="S19" s="9">
        <f t="shared" si="1"/>
        <v>17.25</v>
      </c>
      <c r="T19" s="12" t="s">
        <v>80</v>
      </c>
      <c r="U19" s="12"/>
      <c r="V19" s="12"/>
      <c r="W19" s="12"/>
      <c r="X19" s="12"/>
    </row>
    <row r="20" spans="3:24" x14ac:dyDescent="0.2">
      <c r="C20" s="1" t="s">
        <v>20</v>
      </c>
      <c r="D20" s="1" t="s">
        <v>104</v>
      </c>
      <c r="M20" s="10" t="s">
        <v>16</v>
      </c>
      <c r="N20" s="11"/>
      <c r="O20" s="6" t="s">
        <v>71</v>
      </c>
      <c r="P20" s="5" t="s">
        <v>4</v>
      </c>
      <c r="Q20" s="8">
        <v>15</v>
      </c>
      <c r="R20" s="8">
        <f t="shared" si="0"/>
        <v>2.25</v>
      </c>
      <c r="S20" s="9">
        <f t="shared" si="1"/>
        <v>17.25</v>
      </c>
      <c r="T20" s="12" t="s">
        <v>80</v>
      </c>
      <c r="U20" s="12"/>
      <c r="V20" s="12"/>
      <c r="W20" s="12"/>
      <c r="X20" s="12"/>
    </row>
    <row r="21" spans="3:24" x14ac:dyDescent="0.2">
      <c r="C21" s="1" t="s">
        <v>100</v>
      </c>
      <c r="D21" s="1" t="s">
        <v>104</v>
      </c>
      <c r="M21" s="10" t="s">
        <v>17</v>
      </c>
      <c r="N21" s="11"/>
      <c r="O21" s="6" t="s">
        <v>18</v>
      </c>
      <c r="P21" s="5" t="s">
        <v>4</v>
      </c>
      <c r="Q21" s="8">
        <v>13.5</v>
      </c>
      <c r="R21" s="8">
        <f t="shared" si="0"/>
        <v>2.0249999999999999</v>
      </c>
      <c r="S21" s="9">
        <f t="shared" si="1"/>
        <v>15.525</v>
      </c>
      <c r="T21" s="12" t="s">
        <v>86</v>
      </c>
      <c r="U21" s="12"/>
      <c r="V21" s="12"/>
      <c r="W21" s="12"/>
      <c r="X21" s="12"/>
    </row>
    <row r="22" spans="3:24" x14ac:dyDescent="0.2">
      <c r="M22" s="10" t="s">
        <v>19</v>
      </c>
      <c r="N22" s="11"/>
      <c r="O22" s="6" t="s">
        <v>20</v>
      </c>
      <c r="P22" s="5" t="s">
        <v>4</v>
      </c>
      <c r="Q22" s="8">
        <v>15</v>
      </c>
      <c r="R22" s="8">
        <f t="shared" si="0"/>
        <v>2.25</v>
      </c>
      <c r="S22" s="9">
        <f t="shared" si="1"/>
        <v>17.25</v>
      </c>
      <c r="T22" s="12" t="s">
        <v>80</v>
      </c>
      <c r="U22" s="12"/>
      <c r="V22" s="12"/>
      <c r="W22" s="12"/>
      <c r="X22" s="12"/>
    </row>
    <row r="23" spans="3:24" x14ac:dyDescent="0.2">
      <c r="M23" s="10" t="s">
        <v>21</v>
      </c>
      <c r="N23" s="11"/>
      <c r="O23" s="6" t="s">
        <v>72</v>
      </c>
      <c r="P23" s="5" t="s">
        <v>12</v>
      </c>
      <c r="Q23" s="8">
        <v>49</v>
      </c>
      <c r="R23" s="8">
        <f t="shared" si="0"/>
        <v>7.35</v>
      </c>
      <c r="S23" s="9">
        <f t="shared" si="1"/>
        <v>56.35</v>
      </c>
      <c r="T23" s="12" t="s">
        <v>87</v>
      </c>
      <c r="U23" s="12"/>
      <c r="V23" s="12"/>
      <c r="W23" s="12"/>
      <c r="X23" s="12"/>
    </row>
    <row r="24" spans="3:24" x14ac:dyDescent="0.2">
      <c r="M24" s="10" t="s">
        <v>22</v>
      </c>
      <c r="N24" s="11"/>
      <c r="O24" s="6" t="s">
        <v>23</v>
      </c>
      <c r="P24" s="5" t="s">
        <v>12</v>
      </c>
      <c r="Q24" s="8">
        <v>60</v>
      </c>
      <c r="R24" s="8">
        <f t="shared" si="0"/>
        <v>9</v>
      </c>
      <c r="S24" s="9">
        <f t="shared" si="1"/>
        <v>69</v>
      </c>
      <c r="T24" s="12" t="s">
        <v>88</v>
      </c>
      <c r="U24" s="12"/>
      <c r="V24" s="12"/>
      <c r="W24" s="12"/>
      <c r="X24" s="12"/>
    </row>
    <row r="25" spans="3:24" x14ac:dyDescent="0.2">
      <c r="M25" s="10" t="s">
        <v>24</v>
      </c>
      <c r="N25" s="11"/>
      <c r="O25" s="6" t="s">
        <v>25</v>
      </c>
      <c r="P25" s="5" t="s">
        <v>12</v>
      </c>
      <c r="Q25" s="8">
        <v>60</v>
      </c>
      <c r="R25" s="8">
        <f t="shared" si="0"/>
        <v>9</v>
      </c>
      <c r="S25" s="9">
        <f t="shared" si="1"/>
        <v>69</v>
      </c>
      <c r="T25" s="12" t="s">
        <v>88</v>
      </c>
      <c r="U25" s="12"/>
      <c r="V25" s="12"/>
      <c r="W25" s="12"/>
      <c r="X25" s="12"/>
    </row>
    <row r="26" spans="3:24" x14ac:dyDescent="0.2">
      <c r="M26" s="10" t="s">
        <v>26</v>
      </c>
      <c r="N26" s="11"/>
      <c r="O26" s="6" t="s">
        <v>73</v>
      </c>
      <c r="P26" s="5" t="s">
        <v>4</v>
      </c>
      <c r="Q26" s="8">
        <v>30</v>
      </c>
      <c r="R26" s="8">
        <f t="shared" si="0"/>
        <v>4.5</v>
      </c>
      <c r="S26" s="9">
        <f t="shared" si="1"/>
        <v>34.5</v>
      </c>
      <c r="T26" s="12" t="s">
        <v>82</v>
      </c>
      <c r="U26" s="12"/>
      <c r="V26" s="12"/>
      <c r="W26" s="12"/>
      <c r="X26" s="12"/>
    </row>
    <row r="27" spans="3:24" x14ac:dyDescent="0.2">
      <c r="M27" s="10" t="s">
        <v>27</v>
      </c>
      <c r="N27" s="11"/>
      <c r="O27" s="6" t="s">
        <v>74</v>
      </c>
      <c r="P27" s="5" t="s">
        <v>4</v>
      </c>
      <c r="Q27" s="8">
        <v>40</v>
      </c>
      <c r="R27" s="8">
        <f t="shared" si="0"/>
        <v>6</v>
      </c>
      <c r="S27" s="9">
        <f t="shared" si="1"/>
        <v>46</v>
      </c>
      <c r="T27" s="12" t="s">
        <v>89</v>
      </c>
      <c r="U27" s="12"/>
      <c r="V27" s="12"/>
      <c r="W27" s="12"/>
      <c r="X27" s="12"/>
    </row>
    <row r="28" spans="3:24" x14ac:dyDescent="0.2">
      <c r="M28" s="10" t="s">
        <v>28</v>
      </c>
      <c r="N28" s="11"/>
      <c r="O28" s="6" t="s">
        <v>75</v>
      </c>
      <c r="P28" s="5" t="s">
        <v>4</v>
      </c>
      <c r="Q28" s="8">
        <v>45</v>
      </c>
      <c r="R28" s="8">
        <f t="shared" si="0"/>
        <v>6.75</v>
      </c>
      <c r="S28" s="9">
        <f t="shared" si="1"/>
        <v>51.75</v>
      </c>
      <c r="T28" s="12" t="s">
        <v>90</v>
      </c>
      <c r="U28" s="12"/>
      <c r="V28" s="12"/>
      <c r="W28" s="12"/>
      <c r="X28" s="12"/>
    </row>
    <row r="29" spans="3:24" x14ac:dyDescent="0.2">
      <c r="M29" s="10" t="s">
        <v>29</v>
      </c>
      <c r="N29" s="11"/>
      <c r="O29" s="6" t="s">
        <v>76</v>
      </c>
      <c r="P29" s="5" t="s">
        <v>12</v>
      </c>
      <c r="Q29" s="8">
        <v>160</v>
      </c>
      <c r="R29" s="8">
        <f t="shared" si="0"/>
        <v>24</v>
      </c>
      <c r="S29" s="9">
        <f t="shared" si="1"/>
        <v>184</v>
      </c>
      <c r="T29" s="12" t="s">
        <v>91</v>
      </c>
      <c r="U29" s="12"/>
      <c r="V29" s="12"/>
      <c r="W29" s="12"/>
      <c r="X29" s="12"/>
    </row>
    <row r="30" spans="3:24" x14ac:dyDescent="0.2">
      <c r="M30" s="10" t="s">
        <v>30</v>
      </c>
      <c r="N30" s="11"/>
      <c r="O30" s="6" t="s">
        <v>77</v>
      </c>
      <c r="P30" s="5" t="s">
        <v>12</v>
      </c>
      <c r="Q30" s="8">
        <v>35</v>
      </c>
      <c r="R30" s="8">
        <f t="shared" si="0"/>
        <v>5.25</v>
      </c>
      <c r="S30" s="9">
        <f t="shared" si="1"/>
        <v>40.25</v>
      </c>
      <c r="T30" s="12" t="s">
        <v>92</v>
      </c>
      <c r="U30" s="12"/>
      <c r="V30" s="12"/>
      <c r="W30" s="12"/>
      <c r="X30" s="12"/>
    </row>
    <row r="31" spans="3:24" x14ac:dyDescent="0.2">
      <c r="M31" s="10" t="s">
        <v>31</v>
      </c>
      <c r="N31" s="11"/>
      <c r="O31" s="6" t="s">
        <v>78</v>
      </c>
      <c r="P31" s="5" t="s">
        <v>32</v>
      </c>
      <c r="Q31" s="8">
        <v>25</v>
      </c>
      <c r="R31" s="8">
        <f t="shared" si="0"/>
        <v>3.75</v>
      </c>
      <c r="S31" s="9">
        <f t="shared" si="1"/>
        <v>28.75</v>
      </c>
      <c r="T31" s="12" t="s">
        <v>93</v>
      </c>
      <c r="U31" s="12"/>
      <c r="V31" s="12"/>
      <c r="W31" s="12"/>
      <c r="X31" s="12"/>
    </row>
    <row r="32" spans="3:24" x14ac:dyDescent="0.2">
      <c r="M32" s="10" t="s">
        <v>33</v>
      </c>
      <c r="N32" s="11"/>
      <c r="O32" s="6" t="s">
        <v>79</v>
      </c>
      <c r="P32" s="5" t="s">
        <v>34</v>
      </c>
      <c r="Q32" s="8">
        <v>2</v>
      </c>
      <c r="R32" s="8">
        <f t="shared" si="0"/>
        <v>0.3</v>
      </c>
      <c r="S32" s="9">
        <f t="shared" si="1"/>
        <v>2.2999999999999998</v>
      </c>
      <c r="T32" s="12" t="s">
        <v>94</v>
      </c>
      <c r="U32" s="12"/>
      <c r="V32" s="12"/>
      <c r="W32" s="12"/>
      <c r="X32" s="12"/>
    </row>
    <row r="33" spans="13:24" x14ac:dyDescent="0.2">
      <c r="M33" s="10" t="s">
        <v>35</v>
      </c>
      <c r="N33" s="11"/>
      <c r="O33" s="5" t="s">
        <v>36</v>
      </c>
      <c r="P33" s="5" t="s">
        <v>12</v>
      </c>
      <c r="Q33" s="8">
        <v>40</v>
      </c>
      <c r="R33" s="8">
        <f t="shared" si="0"/>
        <v>6</v>
      </c>
      <c r="S33" s="9">
        <f t="shared" si="1"/>
        <v>46</v>
      </c>
      <c r="T33" s="12" t="s">
        <v>89</v>
      </c>
      <c r="U33" s="12"/>
      <c r="V33" s="12"/>
      <c r="W33" s="12"/>
      <c r="X33" s="12"/>
    </row>
    <row r="34" spans="13:24" x14ac:dyDescent="0.2">
      <c r="M34" s="10" t="s">
        <v>37</v>
      </c>
      <c r="N34" s="11"/>
      <c r="O34" s="5" t="s">
        <v>38</v>
      </c>
      <c r="P34" s="5" t="s">
        <v>12</v>
      </c>
      <c r="Q34" s="8">
        <v>40</v>
      </c>
      <c r="R34" s="8">
        <f t="shared" si="0"/>
        <v>6</v>
      </c>
      <c r="S34" s="9">
        <f t="shared" si="1"/>
        <v>46</v>
      </c>
      <c r="T34" s="12" t="s">
        <v>89</v>
      </c>
      <c r="U34" s="12"/>
      <c r="V34" s="12"/>
      <c r="W34" s="12"/>
      <c r="X34" s="12"/>
    </row>
    <row r="35" spans="13:24" x14ac:dyDescent="0.2">
      <c r="M35" s="10" t="s">
        <v>39</v>
      </c>
      <c r="N35" s="11"/>
      <c r="O35" s="5" t="s">
        <v>41</v>
      </c>
      <c r="P35" s="5" t="s">
        <v>40</v>
      </c>
      <c r="Q35" s="8">
        <v>40</v>
      </c>
      <c r="R35" s="8">
        <f t="shared" si="0"/>
        <v>6</v>
      </c>
      <c r="S35" s="9">
        <f t="shared" si="1"/>
        <v>46</v>
      </c>
      <c r="T35" s="12" t="s">
        <v>89</v>
      </c>
      <c r="U35" s="12"/>
      <c r="V35" s="12"/>
      <c r="W35" s="12"/>
      <c r="X35" s="12"/>
    </row>
    <row r="36" spans="13:24" x14ac:dyDescent="0.2">
      <c r="M36" s="10" t="s">
        <v>42</v>
      </c>
      <c r="N36" s="11"/>
      <c r="O36" s="5" t="s">
        <v>43</v>
      </c>
      <c r="P36" s="5" t="s">
        <v>40</v>
      </c>
      <c r="Q36" s="8">
        <v>30</v>
      </c>
      <c r="R36" s="8">
        <f t="shared" si="0"/>
        <v>4.5</v>
      </c>
      <c r="S36" s="9">
        <f t="shared" si="1"/>
        <v>34.5</v>
      </c>
      <c r="T36" s="12" t="s">
        <v>82</v>
      </c>
      <c r="U36" s="12"/>
      <c r="V36" s="12"/>
      <c r="W36" s="12"/>
      <c r="X36" s="12"/>
    </row>
    <row r="37" spans="13:24" x14ac:dyDescent="0.2">
      <c r="M37" s="10" t="s">
        <v>44</v>
      </c>
      <c r="N37" s="11"/>
      <c r="O37" s="5" t="s">
        <v>45</v>
      </c>
      <c r="P37" s="5" t="s">
        <v>40</v>
      </c>
      <c r="Q37" s="8">
        <v>45</v>
      </c>
      <c r="R37" s="8">
        <f t="shared" si="0"/>
        <v>6.75</v>
      </c>
      <c r="S37" s="9">
        <f t="shared" si="1"/>
        <v>51.75</v>
      </c>
      <c r="T37" s="12" t="s">
        <v>90</v>
      </c>
      <c r="U37" s="12"/>
      <c r="V37" s="12"/>
      <c r="W37" s="12"/>
      <c r="X37" s="12"/>
    </row>
    <row r="38" spans="13:24" x14ac:dyDescent="0.2">
      <c r="M38" s="10" t="s">
        <v>46</v>
      </c>
      <c r="N38" s="11"/>
      <c r="O38" s="5" t="s">
        <v>47</v>
      </c>
      <c r="P38" s="5" t="s">
        <v>40</v>
      </c>
      <c r="Q38" s="8">
        <v>35</v>
      </c>
      <c r="R38" s="8">
        <f t="shared" si="0"/>
        <v>5.25</v>
      </c>
      <c r="S38" s="9">
        <f t="shared" si="1"/>
        <v>40.25</v>
      </c>
      <c r="T38" s="12" t="s">
        <v>92</v>
      </c>
      <c r="U38" s="12"/>
      <c r="V38" s="12"/>
      <c r="W38" s="12"/>
      <c r="X38" s="12"/>
    </row>
    <row r="39" spans="13:24" x14ac:dyDescent="0.2">
      <c r="M39" s="10" t="s">
        <v>48</v>
      </c>
      <c r="N39" s="11"/>
      <c r="O39" s="5" t="s">
        <v>49</v>
      </c>
      <c r="P39" s="5" t="s">
        <v>40</v>
      </c>
      <c r="Q39" s="8">
        <v>100</v>
      </c>
      <c r="R39" s="8">
        <f t="shared" si="0"/>
        <v>15</v>
      </c>
      <c r="S39" s="9">
        <f t="shared" si="1"/>
        <v>115</v>
      </c>
      <c r="T39" s="12" t="s">
        <v>95</v>
      </c>
      <c r="U39" s="12"/>
      <c r="V39" s="12"/>
      <c r="W39" s="12"/>
      <c r="X39" s="12"/>
    </row>
    <row r="40" spans="13:24" ht="21" thickBot="1" x14ac:dyDescent="0.25">
      <c r="M40" s="12" t="s">
        <v>50</v>
      </c>
      <c r="N40" s="12"/>
      <c r="O40" s="7" t="s">
        <v>51</v>
      </c>
      <c r="P40" s="7" t="s">
        <v>40</v>
      </c>
      <c r="Q40" s="8">
        <v>25</v>
      </c>
      <c r="R40" s="8">
        <f t="shared" si="0"/>
        <v>3.75</v>
      </c>
      <c r="S40" s="9">
        <f t="shared" si="1"/>
        <v>28.75</v>
      </c>
      <c r="T40" s="12" t="s">
        <v>93</v>
      </c>
      <c r="U40" s="12"/>
      <c r="V40" s="12"/>
      <c r="W40" s="12"/>
      <c r="X40" s="12"/>
    </row>
  </sheetData>
  <mergeCells count="73">
    <mergeCell ref="T16:X16"/>
    <mergeCell ref="M1:X1"/>
    <mergeCell ref="M2:X2"/>
    <mergeCell ref="M3:X4"/>
    <mergeCell ref="M5:X6"/>
    <mergeCell ref="S7:X7"/>
    <mergeCell ref="T8:X8"/>
    <mergeCell ref="O7:O8"/>
    <mergeCell ref="P7:P8"/>
    <mergeCell ref="T9:X9"/>
    <mergeCell ref="T10:X10"/>
    <mergeCell ref="T11:X11"/>
    <mergeCell ref="T12:X12"/>
    <mergeCell ref="T13:X13"/>
    <mergeCell ref="T14:X14"/>
    <mergeCell ref="T15:X15"/>
    <mergeCell ref="T28:X28"/>
    <mergeCell ref="T17:X17"/>
    <mergeCell ref="T18:X18"/>
    <mergeCell ref="T19:X19"/>
    <mergeCell ref="T20:X20"/>
    <mergeCell ref="T21:X21"/>
    <mergeCell ref="T22:X22"/>
    <mergeCell ref="T23:X23"/>
    <mergeCell ref="T24:X24"/>
    <mergeCell ref="T25:X25"/>
    <mergeCell ref="T26:X26"/>
    <mergeCell ref="T27:X27"/>
    <mergeCell ref="T40:X40"/>
    <mergeCell ref="T29:X29"/>
    <mergeCell ref="T30:X30"/>
    <mergeCell ref="T31:X31"/>
    <mergeCell ref="T32:X32"/>
    <mergeCell ref="T33:X33"/>
    <mergeCell ref="T34:X34"/>
    <mergeCell ref="T35:X35"/>
    <mergeCell ref="T36:X36"/>
    <mergeCell ref="T37:X37"/>
    <mergeCell ref="T38:X38"/>
    <mergeCell ref="T39:X39"/>
    <mergeCell ref="M19:N19"/>
    <mergeCell ref="M7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31:N31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8:N38"/>
    <mergeCell ref="M39:N39"/>
    <mergeCell ref="M40:N40"/>
    <mergeCell ref="M32:N32"/>
    <mergeCell ref="M33:N33"/>
    <mergeCell ref="M34:N34"/>
    <mergeCell ref="M35:N35"/>
    <mergeCell ref="M36:N36"/>
    <mergeCell ref="M37:N3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nawaf albishri</dc:creator>
  <cp:lastModifiedBy>nawaf albishri</cp:lastModifiedBy>
  <dcterms:created xsi:type="dcterms:W3CDTF">2026-03-01T19:31:47Z</dcterms:created>
  <dcterms:modified xsi:type="dcterms:W3CDTF">2026-03-05T03:47:37Z</dcterms:modified>
</cp:coreProperties>
</file>