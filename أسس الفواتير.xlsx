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0" documentId="8_{CD8A8F8D-5A8B-407D-B50A-1888090B72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إدخال فاتورة" sheetId="2" r:id="rId2"/>
    <sheet name="المبيعات" sheetId="3" r:id="rId3"/>
    <sheet name="العملاء" sheetId="4" r:id="rId4"/>
    <sheet name="المشاريع" sheetId="5" r:id="rId5"/>
    <sheet name="المصروفات" sheetId="6" r:id="rId6"/>
    <sheet name="التقارير" sheetId="7" r:id="rId7"/>
    <sheet name="البحث" sheetId="8" r:id="rId8"/>
    <sheet name="الإعدادات" sheetId="9" r:id="rId9"/>
    <sheet name="أرشيف PDF" sheetId="10" r:id="rId10"/>
    <sheet name="تعليمات" sheetId="11" r:id="rId11"/>
    <sheet name="قوائم" sheetId="12" r:id="rId12"/>
    <sheet name="مساعد الداش" sheetId="13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3" l="1"/>
  <c r="E7" i="13"/>
  <c r="B7" i="13"/>
  <c r="F6" i="13"/>
  <c r="J28" i="1" s="1"/>
  <c r="E6" i="13"/>
  <c r="B6" i="13"/>
  <c r="F5" i="13"/>
  <c r="E5" i="13"/>
  <c r="B5" i="13"/>
  <c r="D12" i="1" s="1"/>
  <c r="K4" i="13"/>
  <c r="I4" i="13"/>
  <c r="F4" i="13"/>
  <c r="K3" i="13"/>
  <c r="I3" i="13"/>
  <c r="F3" i="13"/>
  <c r="J25" i="1" s="1"/>
  <c r="B3" i="13"/>
  <c r="K2" i="13"/>
  <c r="I2" i="13"/>
  <c r="F2" i="13"/>
  <c r="E11" i="8"/>
  <c r="E10" i="8"/>
  <c r="E9" i="8"/>
  <c r="E8" i="8"/>
  <c r="E7" i="8"/>
  <c r="E6" i="8"/>
  <c r="I9" i="3"/>
  <c r="J9" i="3" s="1"/>
  <c r="K9" i="3" s="1"/>
  <c r="E4" i="13" s="1"/>
  <c r="I26" i="1" s="1"/>
  <c r="J8" i="3"/>
  <c r="K8" i="3" s="1"/>
  <c r="I8" i="3"/>
  <c r="I7" i="3"/>
  <c r="I6" i="3"/>
  <c r="J6" i="3" s="1"/>
  <c r="I5" i="3"/>
  <c r="J5" i="3" s="1"/>
  <c r="K5" i="3" s="1"/>
  <c r="Q23" i="2"/>
  <c r="P23" i="2"/>
  <c r="O23" i="2"/>
  <c r="K23" i="2"/>
  <c r="J23" i="2"/>
  <c r="I23" i="2"/>
  <c r="H23" i="2"/>
  <c r="G23" i="2"/>
  <c r="E18" i="2"/>
  <c r="D23" i="2" s="1"/>
  <c r="E12" i="2"/>
  <c r="E13" i="2" s="1"/>
  <c r="M23" i="2" s="1"/>
  <c r="E5" i="2"/>
  <c r="E23" i="2" s="1"/>
  <c r="J29" i="1"/>
  <c r="I29" i="1"/>
  <c r="H29" i="1"/>
  <c r="I28" i="1"/>
  <c r="H28" i="1"/>
  <c r="J27" i="1"/>
  <c r="I27" i="1"/>
  <c r="H27" i="1"/>
  <c r="J26" i="1"/>
  <c r="H26" i="1"/>
  <c r="D26" i="1"/>
  <c r="H25" i="1"/>
  <c r="D25" i="1"/>
  <c r="J24" i="1"/>
  <c r="H24" i="1"/>
  <c r="D24" i="1"/>
  <c r="L12" i="1"/>
  <c r="H12" i="1"/>
  <c r="H7" i="1"/>
  <c r="E2" i="13" l="1"/>
  <c r="I24" i="1" s="1"/>
  <c r="L2" i="13"/>
  <c r="E24" i="1" s="1"/>
  <c r="K6" i="3"/>
  <c r="L3" i="13" s="1"/>
  <c r="E25" i="1" s="1"/>
  <c r="E6" i="2"/>
  <c r="F23" i="2" s="1"/>
  <c r="J7" i="3"/>
  <c r="K7" i="3" s="1"/>
  <c r="E14" i="2"/>
  <c r="N23" i="2" s="1"/>
  <c r="L23" i="2"/>
  <c r="E3" i="13" l="1"/>
  <c r="I25" i="1" s="1"/>
  <c r="L4" i="13"/>
  <c r="E26" i="1" s="1"/>
  <c r="B2" i="13"/>
  <c r="D7" i="1" l="1"/>
  <c r="B4" i="13"/>
  <c r="L7" i="1" s="1"/>
</calcChain>
</file>

<file path=xl/sharedStrings.xml><?xml version="1.0" encoding="utf-8"?>
<sst xmlns="http://schemas.openxmlformats.org/spreadsheetml/2006/main" count="281" uniqueCount="129">
  <si>
    <t>ERP</t>
  </si>
  <si>
    <t>لوحة التحكم</t>
  </si>
  <si>
    <t>النسخة النهائية v10 - ملف جاهز مع حزمة Apps Script</t>
  </si>
  <si>
    <t>Dashboard</t>
  </si>
  <si>
    <t>إجمالي المبيعات</t>
  </si>
  <si>
    <t>إجمالي المصروفات</t>
  </si>
  <si>
    <t>صافي الربح</t>
  </si>
  <si>
    <t>إدخال فاتورة</t>
  </si>
  <si>
    <t>المبيعات</t>
  </si>
  <si>
    <t>عدد الفواتير</t>
  </si>
  <si>
    <t>عدد العملاء</t>
  </si>
  <si>
    <t>فواتير غير مدفوعة</t>
  </si>
  <si>
    <t>العملاء</t>
  </si>
  <si>
    <t>المشاريع</t>
  </si>
  <si>
    <t>التقارير</t>
  </si>
  <si>
    <t>المصروفات</t>
  </si>
  <si>
    <t>أفضل العملاء</t>
  </si>
  <si>
    <t>ملخص شهري</t>
  </si>
  <si>
    <t>العميل</t>
  </si>
  <si>
    <t>الإجمالي</t>
  </si>
  <si>
    <t>الشهر</t>
  </si>
  <si>
    <t>البحث</t>
  </si>
  <si>
    <t>الإعدادات</t>
  </si>
  <si>
    <t>جاهز للعمل مع السكربت النهائي. الخلايا الصفراء للإدخال فقط.</t>
  </si>
  <si>
    <t>التاريخ</t>
  </si>
  <si>
    <t>المشروع</t>
  </si>
  <si>
    <t>الوصف</t>
  </si>
  <si>
    <t>الكمية</t>
  </si>
  <si>
    <t>السعر</t>
  </si>
  <si>
    <t>قبل الضريبة</t>
  </si>
  <si>
    <t>الضريبة</t>
  </si>
  <si>
    <t>الحالة</t>
  </si>
  <si>
    <t>غير مدفوع</t>
  </si>
  <si>
    <t>المستخدم</t>
  </si>
  <si>
    <t>admin</t>
  </si>
  <si>
    <t>رقم الفاتورة التالي</t>
  </si>
  <si>
    <t>رقم الفاتورة</t>
  </si>
  <si>
    <t>رابط PDF</t>
  </si>
  <si>
    <t>الإجمالي النهائي</t>
  </si>
  <si>
    <t>INV-1001</t>
  </si>
  <si>
    <t>2026-01-12</t>
  </si>
  <si>
    <t>2026-01</t>
  </si>
  <si>
    <t>شركة المدار</t>
  </si>
  <si>
    <t>توريد قطع</t>
  </si>
  <si>
    <t>فاتورة توريد</t>
  </si>
  <si>
    <t>مدفوع</t>
  </si>
  <si>
    <t>INV-1002</t>
  </si>
  <si>
    <t>2026-01-29</t>
  </si>
  <si>
    <t>مؤسسة النور</t>
  </si>
  <si>
    <t>خدمة صيانة</t>
  </si>
  <si>
    <t>خدمة شهرية</t>
  </si>
  <si>
    <t>INV-1003</t>
  </si>
  <si>
    <t>2026-02-08</t>
  </si>
  <si>
    <t>2026-02</t>
  </si>
  <si>
    <t>شركة السرعة</t>
  </si>
  <si>
    <t>عقد نقل</t>
  </si>
  <si>
    <t>دفعة أولى</t>
  </si>
  <si>
    <t>sales</t>
  </si>
  <si>
    <t>INV-1004</t>
  </si>
  <si>
    <t>2026-02-19</t>
  </si>
  <si>
    <t>ملغي</t>
  </si>
  <si>
    <t>INV-1005</t>
  </si>
  <si>
    <t>2026-03-02</t>
  </si>
  <si>
    <t>2026-03</t>
  </si>
  <si>
    <t>خدمة إضافية</t>
  </si>
  <si>
    <t>account</t>
  </si>
  <si>
    <t>رقم العميل</t>
  </si>
  <si>
    <t>اسم العميل</t>
  </si>
  <si>
    <t>الهاتف</t>
  </si>
  <si>
    <t>البريد</t>
  </si>
  <si>
    <t>المدينة</t>
  </si>
  <si>
    <t>C-001</t>
  </si>
  <si>
    <t>0500000001</t>
  </si>
  <si>
    <t>info@almadar.sa</t>
  </si>
  <si>
    <t>جدة</t>
  </si>
  <si>
    <t>نشط</t>
  </si>
  <si>
    <t>C-002</t>
  </si>
  <si>
    <t>0500000002</t>
  </si>
  <si>
    <t>sales@alnoor.sa</t>
  </si>
  <si>
    <t>مكة</t>
  </si>
  <si>
    <t>C-003</t>
  </si>
  <si>
    <t>0500000003</t>
  </si>
  <si>
    <t>ops@speed.sa</t>
  </si>
  <si>
    <t>الرياض</t>
  </si>
  <si>
    <t>رقم المشروع</t>
  </si>
  <si>
    <t>اسم المشروع</t>
  </si>
  <si>
    <t>قيمة المشروع</t>
  </si>
  <si>
    <t>تاريخ البدء</t>
  </si>
  <si>
    <t>P-001</t>
  </si>
  <si>
    <t>مفتوح</t>
  </si>
  <si>
    <t>2026-01-10</t>
  </si>
  <si>
    <t>P-002</t>
  </si>
  <si>
    <t>2026-02-02</t>
  </si>
  <si>
    <t>P-003</t>
  </si>
  <si>
    <t>مغلق</t>
  </si>
  <si>
    <t>2026-02-20</t>
  </si>
  <si>
    <t>الفئة</t>
  </si>
  <si>
    <t>القيمة</t>
  </si>
  <si>
    <t>2026-01-15</t>
  </si>
  <si>
    <t>وقود</t>
  </si>
  <si>
    <t>تشغيلي</t>
  </si>
  <si>
    <t>2026-01-28</t>
  </si>
  <si>
    <t>مستلزمات</t>
  </si>
  <si>
    <t>مكتبي</t>
  </si>
  <si>
    <t>2026-02-10</t>
  </si>
  <si>
    <t>صيانة</t>
  </si>
  <si>
    <t>2026-03-01</t>
  </si>
  <si>
    <t>اتصالات</t>
  </si>
  <si>
    <t>إداري</t>
  </si>
  <si>
    <t>رقم الفاتورة أو اسم العميل</t>
  </si>
  <si>
    <t>حالة المطابقة</t>
  </si>
  <si>
    <t>إعدادات النظام</t>
  </si>
  <si>
    <t>اسم الشركة</t>
  </si>
  <si>
    <t>أسس الأسطول</t>
  </si>
  <si>
    <t>ضريبة القيمة المضافة</t>
  </si>
  <si>
    <t>عملة النظام</t>
  </si>
  <si>
    <t>ر.س</t>
  </si>
  <si>
    <t>آخر رقم فاتورة</t>
  </si>
  <si>
    <t>أرشيف PDF</t>
  </si>
  <si>
    <t>الحزمة النهائية</t>
  </si>
  <si>
    <t>1) ارفع ملف ERP_v10_GoogleSheets_Ready.xlsx إلى Google Drive</t>
  </si>
  <si>
    <t>2) افتحه باستخدام Google Sheets</t>
  </si>
  <si>
    <t>3) افتح Extensions &gt; Apps Script</t>
  </si>
  <si>
    <t>4) الصق محتوى Code.gs المرفق في الحزمة</t>
  </si>
  <si>
    <t>5) احفظ السكربت - سيظهر Menu باسم ERP</t>
  </si>
  <si>
    <t>6) استخدم القائمة ERP للتنقل وحفظ الفاتورة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</si>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</sst>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rial"/>
      <family val="2"/>
      <scheme val="minor"/>
    </font>
    <font>
      <b/>
      <sz val="15"/>
      <color rgb="FFFFFFFF"/>
      <name val="Arial"/>
    </font>
    <font>
      <b/>
      <sz val="11"/>
      <color rgb="FFFFFFFF"/>
      <name val="Arial"/>
    </font>
    <font>
      <b/>
      <sz val="18"/>
      <color rgb="FF0F172A"/>
      <name val="Arial"/>
    </font>
    <font>
      <b/>
      <sz val="11"/>
      <color rgb="FF0F172A"/>
      <name val="Arial"/>
    </font>
    <font>
      <sz val="10"/>
      <color rgb="FF64748B"/>
      <name val="Arial"/>
    </font>
    <font>
      <b/>
      <sz val="10"/>
      <color rgb="FF64748B"/>
      <name val="Arial"/>
    </font>
    <font>
      <b/>
      <sz val="16"/>
      <color rgb="FF0F172A"/>
      <name val="Arial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FFF7CC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5" fillId="0" borderId="0" xfId="0" applyFont="1"/>
    <xf numFmtId="0" fontId="0" fillId="6" borderId="1" xfId="0" applyFill="1" applyBorder="1"/>
    <xf numFmtId="0" fontId="4" fillId="0" borderId="0" xfId="0" applyFont="1"/>
    <xf numFmtId="0" fontId="4" fillId="5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4" fillId="6" borderId="1" xfId="0" applyFont="1" applyFill="1" applyBorder="1"/>
    <xf numFmtId="0" fontId="0" fillId="4" borderId="1" xfId="0" applyFill="1" applyBorder="1"/>
    <xf numFmtId="4" fontId="0" fillId="4" borderId="1" xfId="0" applyNumberFormat="1" applyFill="1" applyBorder="1"/>
    <xf numFmtId="4" fontId="0" fillId="6" borderId="1" xfId="0" applyNumberFormat="1" applyFill="1" applyBorder="1"/>
    <xf numFmtId="164" fontId="0" fillId="4" borderId="1" xfId="0" applyNumberFormat="1" applyFill="1" applyBorder="1"/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المبيعات الشهرية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'مساعد الداش'!$E$1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'مساعد الداش'!$D$2:$D$7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'مساعد الداش'!$E$2:$E$7</c:f>
              <c:numCache>
                <c:formatCode>General</c:formatCode>
                <c:ptCount val="6"/>
                <c:pt idx="0">
                  <c:v>8050</c:v>
                </c:pt>
                <c:pt idx="1">
                  <c:v>10810</c:v>
                </c:pt>
                <c:pt idx="2">
                  <c:v>5692.5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01-477A-8286-5C49B4FE4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أفضل العملاء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'مساعد الداش'!$L$1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'مساعد الداش'!$K$2:$K$4</c:f>
              <c:strCache>
                <c:ptCount val="3"/>
                <c:pt idx="0">
                  <c:v>شركة المدار</c:v>
                </c:pt>
                <c:pt idx="1">
                  <c:v>مؤسسة النور</c:v>
                </c:pt>
                <c:pt idx="2">
                  <c:v>شركة السرعة</c:v>
                </c:pt>
              </c:strCache>
            </c:strRef>
          </c:cat>
          <c:val>
            <c:numRef>
              <c:f>'مساعد الداش'!$L$2:$L$4</c:f>
              <c:numCache>
                <c:formatCode>General</c:formatCode>
                <c:ptCount val="3"/>
                <c:pt idx="0">
                  <c:v>7705</c:v>
                </c:pt>
                <c:pt idx="1">
                  <c:v>8567.5</c:v>
                </c:pt>
                <c:pt idx="2">
                  <c:v>8280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D-42B3-99D1-2286ACF85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31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31</xdr:row>
      <xdr:rowOff>0</xdr:rowOff>
    </xdr:from>
    <xdr:ext cx="28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9"/>
  <sheetViews>
    <sheetView showGridLines="0" rightToLeft="1" tabSelected="1" workbookViewId="0">
      <selection activeCell="B7" sqref="B7:B8"/>
    </sheetView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1" spans="2:14" x14ac:dyDescent="0.2">
      <c r="B1" s="20" t="s">
        <v>0</v>
      </c>
    </row>
    <row r="2" spans="2:14" ht="23.25" x14ac:dyDescent="0.35">
      <c r="B2" s="19"/>
      <c r="D2" s="1" t="s">
        <v>1</v>
      </c>
    </row>
    <row r="3" spans="2:14" x14ac:dyDescent="0.2">
      <c r="D3" s="2" t="s">
        <v>2</v>
      </c>
    </row>
    <row r="4" spans="2:14" x14ac:dyDescent="0.2">
      <c r="B4" s="21" t="s">
        <v>3</v>
      </c>
    </row>
    <row r="5" spans="2:14" x14ac:dyDescent="0.2">
      <c r="B5" s="19"/>
      <c r="D5" s="13" t="s">
        <v>4</v>
      </c>
      <c r="E5" s="14"/>
      <c r="F5" s="14"/>
      <c r="H5" s="13" t="s">
        <v>5</v>
      </c>
      <c r="I5" s="14"/>
      <c r="J5" s="14"/>
      <c r="L5" s="13" t="s">
        <v>6</v>
      </c>
      <c r="M5" s="14"/>
      <c r="N5" s="14"/>
    </row>
    <row r="6" spans="2:14" x14ac:dyDescent="0.2">
      <c r="D6" s="14"/>
      <c r="E6" s="14"/>
      <c r="F6" s="14"/>
      <c r="H6" s="14"/>
      <c r="I6" s="14"/>
      <c r="J6" s="14"/>
      <c r="L6" s="14"/>
      <c r="M6" s="14"/>
      <c r="N6" s="14"/>
    </row>
    <row r="7" spans="2:14" x14ac:dyDescent="0.2">
      <c r="B7" s="18" t="s">
        <v>7</v>
      </c>
      <c r="D7" s="17">
        <f>'مساعد الداش'!B2</f>
        <v>24552.5</v>
      </c>
      <c r="E7" s="14"/>
      <c r="F7" s="14"/>
      <c r="H7" s="17">
        <f>'مساعد الداش'!B3</f>
        <v>1350</v>
      </c>
      <c r="I7" s="14"/>
      <c r="J7" s="14"/>
      <c r="L7" s="17">
        <f>'مساعد الداش'!B4</f>
        <v>23202.5</v>
      </c>
      <c r="M7" s="14"/>
      <c r="N7" s="14"/>
    </row>
    <row r="8" spans="2:14" x14ac:dyDescent="0.2">
      <c r="B8" s="19"/>
      <c r="D8" s="14"/>
      <c r="E8" s="14"/>
      <c r="F8" s="14"/>
      <c r="H8" s="14"/>
      <c r="I8" s="14"/>
      <c r="J8" s="14"/>
      <c r="L8" s="14"/>
      <c r="M8" s="14"/>
      <c r="N8" s="14"/>
    </row>
    <row r="10" spans="2:14" x14ac:dyDescent="0.2">
      <c r="B10" s="18" t="s">
        <v>8</v>
      </c>
      <c r="D10" s="13" t="s">
        <v>9</v>
      </c>
      <c r="E10" s="14"/>
      <c r="F10" s="14"/>
      <c r="H10" s="13" t="s">
        <v>10</v>
      </c>
      <c r="I10" s="14"/>
      <c r="J10" s="14"/>
      <c r="L10" s="13" t="s">
        <v>11</v>
      </c>
      <c r="M10" s="14"/>
      <c r="N10" s="14"/>
    </row>
    <row r="11" spans="2:14" x14ac:dyDescent="0.2">
      <c r="B11" s="19"/>
      <c r="D11" s="14"/>
      <c r="E11" s="14"/>
      <c r="F11" s="14"/>
      <c r="H11" s="14"/>
      <c r="I11" s="14"/>
      <c r="J11" s="14"/>
      <c r="L11" s="14"/>
      <c r="M11" s="14"/>
      <c r="N11" s="14"/>
    </row>
    <row r="12" spans="2:14" x14ac:dyDescent="0.2">
      <c r="D12" s="17">
        <f>'مساعد الداش'!B5</f>
        <v>5</v>
      </c>
      <c r="E12" s="14"/>
      <c r="F12" s="14"/>
      <c r="H12" s="17">
        <f>'مساعد الداش'!B6</f>
        <v>3</v>
      </c>
      <c r="I12" s="14"/>
      <c r="J12" s="14"/>
      <c r="L12" s="17">
        <f>'مساعد الداش'!B7</f>
        <v>1</v>
      </c>
      <c r="M12" s="14"/>
      <c r="N12" s="14"/>
    </row>
    <row r="13" spans="2:14" x14ac:dyDescent="0.2">
      <c r="B13" s="18" t="s">
        <v>12</v>
      </c>
      <c r="D13" s="14"/>
      <c r="E13" s="14"/>
      <c r="F13" s="14"/>
      <c r="H13" s="14"/>
      <c r="I13" s="14"/>
      <c r="J13" s="14"/>
      <c r="L13" s="14"/>
      <c r="M13" s="14"/>
      <c r="N13" s="14"/>
    </row>
    <row r="14" spans="2:14" x14ac:dyDescent="0.2">
      <c r="B14" s="19"/>
    </row>
    <row r="16" spans="2:14" x14ac:dyDescent="0.2">
      <c r="B16" s="18" t="s">
        <v>13</v>
      </c>
      <c r="D16" s="15" t="s">
        <v>7</v>
      </c>
      <c r="E16" s="16"/>
      <c r="F16" s="16"/>
      <c r="H16" s="15" t="s">
        <v>8</v>
      </c>
      <c r="I16" s="16"/>
      <c r="J16" s="16"/>
      <c r="L16" s="15" t="s">
        <v>14</v>
      </c>
      <c r="M16" s="16"/>
      <c r="N16" s="16"/>
    </row>
    <row r="17" spans="2:14" x14ac:dyDescent="0.2">
      <c r="B17" s="19"/>
      <c r="D17" s="16"/>
      <c r="E17" s="16"/>
      <c r="F17" s="16"/>
      <c r="H17" s="16"/>
      <c r="I17" s="16"/>
      <c r="J17" s="16"/>
      <c r="L17" s="16"/>
      <c r="M17" s="16"/>
      <c r="N17" s="16"/>
    </row>
    <row r="18" spans="2:14" x14ac:dyDescent="0.2">
      <c r="D18" s="16"/>
      <c r="E18" s="16"/>
      <c r="F18" s="16"/>
      <c r="H18" s="16"/>
      <c r="I18" s="16"/>
      <c r="J18" s="16"/>
      <c r="L18" s="16"/>
      <c r="M18" s="16"/>
      <c r="N18" s="16"/>
    </row>
    <row r="19" spans="2:14" x14ac:dyDescent="0.2">
      <c r="B19" s="18" t="s">
        <v>15</v>
      </c>
    </row>
    <row r="20" spans="2:14" x14ac:dyDescent="0.2">
      <c r="B20" s="19"/>
    </row>
    <row r="22" spans="2:14" ht="15" x14ac:dyDescent="0.25">
      <c r="B22" s="18" t="s">
        <v>14</v>
      </c>
      <c r="D22" s="4" t="s">
        <v>16</v>
      </c>
      <c r="H22" s="4" t="s">
        <v>17</v>
      </c>
    </row>
    <row r="23" spans="2:14" ht="15" x14ac:dyDescent="0.25">
      <c r="B23" s="19"/>
      <c r="D23" s="5" t="s">
        <v>18</v>
      </c>
      <c r="E23" s="5" t="s">
        <v>19</v>
      </c>
      <c r="H23" s="5" t="s">
        <v>20</v>
      </c>
      <c r="I23" s="5" t="s">
        <v>8</v>
      </c>
      <c r="J23" s="5" t="s">
        <v>15</v>
      </c>
    </row>
    <row r="24" spans="2:14" x14ac:dyDescent="0.2">
      <c r="D24" s="6" t="str">
        <f>'مساعد الداش'!K2</f>
        <v>شركة المدار</v>
      </c>
      <c r="E24" s="7">
        <f>'مساعد الداش'!L2</f>
        <v>7705</v>
      </c>
      <c r="H24" s="6" t="str">
        <f>'مساعد الداش'!D2</f>
        <v>2026-01</v>
      </c>
      <c r="I24" s="7">
        <f>'مساعد الداش'!E2</f>
        <v>8050</v>
      </c>
      <c r="J24" s="7">
        <f>'مساعد الداش'!F2</f>
        <v>550</v>
      </c>
    </row>
    <row r="25" spans="2:14" x14ac:dyDescent="0.2">
      <c r="B25" s="18" t="s">
        <v>21</v>
      </c>
      <c r="D25" s="6" t="str">
        <f>'مساعد الداش'!K3</f>
        <v>مؤسسة النور</v>
      </c>
      <c r="E25" s="7">
        <f>'مساعد الداش'!L3</f>
        <v>8567.5</v>
      </c>
      <c r="H25" s="6" t="str">
        <f>'مساعد الداش'!D3</f>
        <v>2026-02</v>
      </c>
      <c r="I25" s="7">
        <f>'مساعد الداش'!E3</f>
        <v>10810</v>
      </c>
      <c r="J25" s="7">
        <f>'مساعد الداش'!F3</f>
        <v>500</v>
      </c>
    </row>
    <row r="26" spans="2:14" x14ac:dyDescent="0.2">
      <c r="B26" s="19"/>
      <c r="D26" s="6" t="str">
        <f>'مساعد الداش'!K4</f>
        <v>شركة السرعة</v>
      </c>
      <c r="E26" s="7">
        <f>'مساعد الداش'!L4</f>
        <v>8280</v>
      </c>
      <c r="H26" s="6" t="str">
        <f>'مساعد الداش'!D4</f>
        <v>2026-03</v>
      </c>
      <c r="I26" s="7">
        <f>'مساعد الداش'!E4</f>
        <v>5692.5</v>
      </c>
      <c r="J26" s="7">
        <f>'مساعد الداش'!F4</f>
        <v>300</v>
      </c>
    </row>
    <row r="27" spans="2:14" x14ac:dyDescent="0.2">
      <c r="H27" s="6" t="str">
        <f>'مساعد الداش'!D5</f>
        <v>2026-04</v>
      </c>
      <c r="I27" s="7">
        <f>'مساعد الداش'!E5</f>
        <v>0</v>
      </c>
      <c r="J27" s="7">
        <f>'مساعد الداش'!F5</f>
        <v>0</v>
      </c>
    </row>
    <row r="28" spans="2:14" x14ac:dyDescent="0.2">
      <c r="B28" s="18" t="s">
        <v>22</v>
      </c>
      <c r="H28" s="6" t="str">
        <f>'مساعد الداش'!D6</f>
        <v>2026-05</v>
      </c>
      <c r="I28" s="7">
        <f>'مساعد الداش'!E6</f>
        <v>0</v>
      </c>
      <c r="J28" s="7">
        <f>'مساعد الداش'!F6</f>
        <v>0</v>
      </c>
    </row>
    <row r="29" spans="2:14" x14ac:dyDescent="0.2">
      <c r="B29" s="19"/>
      <c r="H29" s="6" t="str">
        <f>'مساعد الداش'!D7</f>
        <v>2026-06</v>
      </c>
      <c r="I29" s="7">
        <f>'مساعد الداش'!E7</f>
        <v>0</v>
      </c>
      <c r="J29" s="7">
        <f>'مساعد الداش'!F7</f>
        <v>0</v>
      </c>
    </row>
  </sheetData>
  <mergeCells count="25">
    <mergeCell ref="B16:B17"/>
    <mergeCell ref="H12:J13"/>
    <mergeCell ref="L16:N18"/>
    <mergeCell ref="B13:B14"/>
    <mergeCell ref="B1:B2"/>
    <mergeCell ref="B10:B11"/>
    <mergeCell ref="B28:B29"/>
    <mergeCell ref="L12:N13"/>
    <mergeCell ref="H16:J18"/>
    <mergeCell ref="B19:B20"/>
    <mergeCell ref="L5:N6"/>
    <mergeCell ref="D7:F8"/>
    <mergeCell ref="H7:J8"/>
    <mergeCell ref="D12:F13"/>
    <mergeCell ref="B4:B5"/>
    <mergeCell ref="L10:N11"/>
    <mergeCell ref="B22:B23"/>
    <mergeCell ref="B7:B8"/>
    <mergeCell ref="B25:B26"/>
    <mergeCell ref="D5:F6"/>
    <mergeCell ref="H5:J6"/>
    <mergeCell ref="D10:F11"/>
    <mergeCell ref="D16:F18"/>
    <mergeCell ref="L7:N8"/>
    <mergeCell ref="H10:J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9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1" spans="2:5" x14ac:dyDescent="0.2">
      <c r="B1" s="20" t="s">
        <v>0</v>
      </c>
    </row>
    <row r="2" spans="2:5" ht="23.25" x14ac:dyDescent="0.35">
      <c r="B2" s="19"/>
      <c r="D2" s="1" t="s">
        <v>7</v>
      </c>
    </row>
    <row r="3" spans="2:5" x14ac:dyDescent="0.2">
      <c r="D3" s="2" t="s">
        <v>23</v>
      </c>
    </row>
    <row r="4" spans="2:5" x14ac:dyDescent="0.2">
      <c r="B4" s="18" t="s">
        <v>3</v>
      </c>
    </row>
    <row r="5" spans="2:5" ht="15" x14ac:dyDescent="0.25">
      <c r="B5" s="19"/>
      <c r="D5" s="8" t="s">
        <v>24</v>
      </c>
      <c r="E5" s="9">
        <f ca="1">TODAY()</f>
        <v>46089</v>
      </c>
    </row>
    <row r="6" spans="2:5" ht="15" x14ac:dyDescent="0.25">
      <c r="D6" s="8" t="s">
        <v>20</v>
      </c>
      <c r="E6" s="9" t="str">
        <f ca="1">TEXT(E5,"yyyy-mm")</f>
        <v>2026-03</v>
      </c>
    </row>
    <row r="7" spans="2:5" ht="15" x14ac:dyDescent="0.25">
      <c r="B7" s="21" t="s">
        <v>7</v>
      </c>
      <c r="D7" s="8" t="s">
        <v>18</v>
      </c>
      <c r="E7" s="9"/>
    </row>
    <row r="8" spans="2:5" ht="15" x14ac:dyDescent="0.25">
      <c r="B8" s="19"/>
      <c r="D8" s="8" t="s">
        <v>25</v>
      </c>
      <c r="E8" s="9"/>
    </row>
    <row r="9" spans="2:5" ht="15" x14ac:dyDescent="0.25">
      <c r="D9" s="8" t="s">
        <v>26</v>
      </c>
      <c r="E9" s="9"/>
    </row>
    <row r="10" spans="2:5" ht="15" x14ac:dyDescent="0.25">
      <c r="B10" s="18" t="s">
        <v>8</v>
      </c>
      <c r="D10" s="8" t="s">
        <v>27</v>
      </c>
      <c r="E10" s="10">
        <v>1</v>
      </c>
    </row>
    <row r="11" spans="2:5" ht="15" x14ac:dyDescent="0.25">
      <c r="B11" s="19"/>
      <c r="D11" s="8" t="s">
        <v>28</v>
      </c>
      <c r="E11" s="10">
        <v>0</v>
      </c>
    </row>
    <row r="12" spans="2:5" ht="15" x14ac:dyDescent="0.25">
      <c r="D12" s="8" t="s">
        <v>29</v>
      </c>
      <c r="E12" s="11">
        <f>IFERROR(E10*E11,0)</f>
        <v>0</v>
      </c>
    </row>
    <row r="13" spans="2:5" ht="15" x14ac:dyDescent="0.25">
      <c r="B13" s="18" t="s">
        <v>12</v>
      </c>
      <c r="D13" s="8" t="s">
        <v>30</v>
      </c>
      <c r="E13" s="11">
        <f>IFERROR(E12*الإعدادات!$E$5,0)</f>
        <v>0</v>
      </c>
    </row>
    <row r="14" spans="2:5" ht="15" x14ac:dyDescent="0.25">
      <c r="B14" s="19"/>
      <c r="D14" s="8" t="s">
        <v>19</v>
      </c>
      <c r="E14" s="11">
        <f>IFERROR(E12+E13,0)</f>
        <v>0</v>
      </c>
    </row>
    <row r="15" spans="2:5" ht="15" x14ac:dyDescent="0.25">
      <c r="D15" s="8" t="s">
        <v>31</v>
      </c>
      <c r="E15" s="9" t="s">
        <v>32</v>
      </c>
    </row>
    <row r="16" spans="2:5" ht="15" x14ac:dyDescent="0.25">
      <c r="B16" s="18" t="s">
        <v>13</v>
      </c>
      <c r="D16" s="8" t="s">
        <v>33</v>
      </c>
      <c r="E16" s="9" t="s">
        <v>34</v>
      </c>
    </row>
    <row r="17" spans="2:17" x14ac:dyDescent="0.2">
      <c r="B17" s="19"/>
    </row>
    <row r="18" spans="2:17" ht="15" x14ac:dyDescent="0.25">
      <c r="D18" s="8" t="s">
        <v>35</v>
      </c>
      <c r="E18" s="6" t="e">
        <f ca="1">_xludf.CONCAT("INV-",TEXT(الإعدادات!E7+1,"00000"))</f>
        <v>#NAME?</v>
      </c>
    </row>
    <row r="19" spans="2:17" x14ac:dyDescent="0.2">
      <c r="B19" s="18" t="s">
        <v>15</v>
      </c>
    </row>
    <row r="20" spans="2:17" x14ac:dyDescent="0.2">
      <c r="B20" s="19"/>
    </row>
    <row r="22" spans="2:17" ht="15" x14ac:dyDescent="0.25">
      <c r="B22" s="18" t="s">
        <v>14</v>
      </c>
      <c r="D22" s="5" t="s">
        <v>36</v>
      </c>
      <c r="E22" s="5" t="s">
        <v>24</v>
      </c>
      <c r="F22" s="5" t="s">
        <v>20</v>
      </c>
      <c r="G22" s="5" t="s">
        <v>18</v>
      </c>
      <c r="H22" s="5" t="s">
        <v>25</v>
      </c>
      <c r="I22" s="5" t="s">
        <v>26</v>
      </c>
      <c r="J22" s="5" t="s">
        <v>27</v>
      </c>
      <c r="K22" s="5" t="s">
        <v>28</v>
      </c>
      <c r="L22" s="5" t="s">
        <v>29</v>
      </c>
      <c r="M22" s="5" t="s">
        <v>30</v>
      </c>
      <c r="N22" s="5" t="s">
        <v>19</v>
      </c>
      <c r="O22" s="5" t="s">
        <v>31</v>
      </c>
      <c r="P22" s="5" t="s">
        <v>33</v>
      </c>
      <c r="Q22" s="5" t="s">
        <v>37</v>
      </c>
    </row>
    <row r="23" spans="2:17" x14ac:dyDescent="0.2">
      <c r="B23" s="19"/>
      <c r="D23" s="6" t="e">
        <f ca="1">E18</f>
        <v>#NAME?</v>
      </c>
      <c r="E23" s="6">
        <f ca="1">E5</f>
        <v>46089</v>
      </c>
      <c r="F23" s="6" t="str">
        <f ca="1">E6</f>
        <v>2026-03</v>
      </c>
      <c r="G23" s="6">
        <f>E7</f>
        <v>0</v>
      </c>
      <c r="H23" s="6">
        <f>E8</f>
        <v>0</v>
      </c>
      <c r="I23" s="6">
        <f>E9</f>
        <v>0</v>
      </c>
      <c r="J23" s="6">
        <f>E10</f>
        <v>1</v>
      </c>
      <c r="K23" s="6">
        <f>E11</f>
        <v>0</v>
      </c>
      <c r="L23" s="6">
        <f>E12</f>
        <v>0</v>
      </c>
      <c r="M23" s="6">
        <f>E13</f>
        <v>0</v>
      </c>
      <c r="N23" s="6">
        <f>E14</f>
        <v>0</v>
      </c>
      <c r="O23" s="6" t="str">
        <f>E15</f>
        <v>غير مدفوع</v>
      </c>
      <c r="P23" s="6" t="str">
        <f>E16</f>
        <v>admin</v>
      </c>
      <c r="Q23" s="6" t="str">
        <f>""</f>
        <v/>
      </c>
    </row>
    <row r="25" spans="2:17" x14ac:dyDescent="0.2">
      <c r="B25" s="18" t="s">
        <v>21</v>
      </c>
    </row>
    <row r="26" spans="2:17" x14ac:dyDescent="0.2">
      <c r="B26" s="19"/>
    </row>
    <row r="28" spans="2:17" x14ac:dyDescent="0.2">
      <c r="B28" s="18" t="s">
        <v>22</v>
      </c>
    </row>
    <row r="29" spans="2:17" x14ac:dyDescent="0.2">
      <c r="B29" s="19"/>
    </row>
  </sheetData>
  <mergeCells count="10">
    <mergeCell ref="B1:B2"/>
    <mergeCell ref="B16:B17"/>
    <mergeCell ref="B10:B11"/>
    <mergeCell ref="B28:B29"/>
    <mergeCell ref="B19:B20"/>
    <mergeCell ref="B4:B5"/>
    <mergeCell ref="B13:B14"/>
    <mergeCell ref="B22:B23"/>
    <mergeCell ref="B7:B8"/>
    <mergeCell ref="B25:B26"/>
  </mergeCells>
  <dataValidations count="2">
    <dataValidation type="list" allowBlank="1" sqref="E15" xr:uid="{00000000-0002-0000-0100-000002000000}">
      <formula1>"مدفوع,غير مدفوع,ملغي"</formula1>
    </dataValidation>
    <dataValidation type="list" allowBlank="1" sqref="E16" xr:uid="{00000000-0002-0000-0100-000003000000}">
      <formula1>"admin,sales,account"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العملاء!$B$5:$B$50</xm:f>
          </x14:formula1>
          <xm:sqref>E7</xm:sqref>
        </x14:dataValidation>
        <x14:dataValidation type="list" allowBlank="1" xr:uid="{00000000-0002-0000-0100-000001000000}">
          <x14:formula1>
            <xm:f>المشاريع!$B$5:$B$50</xm:f>
          </x14:formula1>
          <xm:sqref>E8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9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2" spans="1:14" ht="23.25" x14ac:dyDescent="0.35">
      <c r="A2" s="1" t="s">
        <v>8</v>
      </c>
    </row>
    <row r="4" spans="1:14" ht="15" x14ac:dyDescent="0.25">
      <c r="A4" s="5" t="s">
        <v>36</v>
      </c>
      <c r="B4" s="5" t="s">
        <v>24</v>
      </c>
      <c r="C4" s="5" t="s">
        <v>20</v>
      </c>
      <c r="D4" s="5" t="s">
        <v>18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38</v>
      </c>
      <c r="L4" s="5" t="s">
        <v>31</v>
      </c>
      <c r="M4" s="5" t="s">
        <v>33</v>
      </c>
      <c r="N4" s="5" t="s">
        <v>37</v>
      </c>
    </row>
    <row r="5" spans="1:14" x14ac:dyDescent="0.2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>
        <v>3</v>
      </c>
      <c r="H5" s="7">
        <v>1500</v>
      </c>
      <c r="I5" s="7">
        <f>IFERROR(G5*H5,0)</f>
        <v>4500</v>
      </c>
      <c r="J5" s="7">
        <f>IFERROR(I5*الإعدادات!$E$5,0)</f>
        <v>675</v>
      </c>
      <c r="K5" s="7">
        <f>IFERROR(I5+J5,0)</f>
        <v>5175</v>
      </c>
      <c r="L5" s="6" t="s">
        <v>45</v>
      </c>
      <c r="M5" s="6" t="s">
        <v>34</v>
      </c>
      <c r="N5" s="6"/>
    </row>
    <row r="6" spans="1:14" x14ac:dyDescent="0.2">
      <c r="A6" s="6" t="s">
        <v>46</v>
      </c>
      <c r="B6" s="6" t="s">
        <v>47</v>
      </c>
      <c r="C6" s="6" t="s">
        <v>41</v>
      </c>
      <c r="D6" s="6" t="s">
        <v>48</v>
      </c>
      <c r="E6" s="6" t="s">
        <v>49</v>
      </c>
      <c r="F6" s="6" t="s">
        <v>50</v>
      </c>
      <c r="G6" s="6">
        <v>2</v>
      </c>
      <c r="H6" s="7">
        <v>1250</v>
      </c>
      <c r="I6" s="7">
        <f>IFERROR(G6*H6,0)</f>
        <v>2500</v>
      </c>
      <c r="J6" s="7">
        <f>IFERROR(I6*الإعدادات!$E$5,0)</f>
        <v>375</v>
      </c>
      <c r="K6" s="7">
        <f>IFERROR(I6+J6,0)</f>
        <v>2875</v>
      </c>
      <c r="L6" s="6" t="s">
        <v>32</v>
      </c>
      <c r="M6" s="6" t="s">
        <v>34</v>
      </c>
      <c r="N6" s="6"/>
    </row>
    <row r="7" spans="1:14" x14ac:dyDescent="0.2">
      <c r="A7" s="6" t="s">
        <v>51</v>
      </c>
      <c r="B7" s="6" t="s">
        <v>52</v>
      </c>
      <c r="C7" s="6" t="s">
        <v>53</v>
      </c>
      <c r="D7" s="6" t="s">
        <v>54</v>
      </c>
      <c r="E7" s="6" t="s">
        <v>55</v>
      </c>
      <c r="F7" s="6" t="s">
        <v>56</v>
      </c>
      <c r="G7" s="6">
        <v>4</v>
      </c>
      <c r="H7" s="7">
        <v>1800</v>
      </c>
      <c r="I7" s="7">
        <f>IFERROR(G7*H7,0)</f>
        <v>7200</v>
      </c>
      <c r="J7" s="7">
        <f>IFERROR(I7*الإعدادات!$E$5,0)</f>
        <v>1080</v>
      </c>
      <c r="K7" s="7">
        <f>IFERROR(I7+J7,0)</f>
        <v>8280</v>
      </c>
      <c r="L7" s="6" t="s">
        <v>45</v>
      </c>
      <c r="M7" s="6" t="s">
        <v>57</v>
      </c>
      <c r="N7" s="6"/>
    </row>
    <row r="8" spans="1:14" x14ac:dyDescent="0.2">
      <c r="A8" s="6" t="s">
        <v>58</v>
      </c>
      <c r="B8" s="6" t="s">
        <v>59</v>
      </c>
      <c r="C8" s="6" t="s">
        <v>53</v>
      </c>
      <c r="D8" s="6" t="s">
        <v>42</v>
      </c>
      <c r="E8" s="6" t="s">
        <v>43</v>
      </c>
      <c r="F8" s="6" t="s">
        <v>44</v>
      </c>
      <c r="G8" s="6">
        <v>1</v>
      </c>
      <c r="H8" s="7">
        <v>2200</v>
      </c>
      <c r="I8" s="7">
        <f>IFERROR(G8*H8,0)</f>
        <v>2200</v>
      </c>
      <c r="J8" s="7">
        <f>IFERROR(I8*الإعدادات!$E$5,0)</f>
        <v>330</v>
      </c>
      <c r="K8" s="7">
        <f>IFERROR(I8+J8,0)</f>
        <v>2530</v>
      </c>
      <c r="L8" s="6" t="s">
        <v>60</v>
      </c>
      <c r="M8" s="6" t="s">
        <v>57</v>
      </c>
      <c r="N8" s="6"/>
    </row>
    <row r="9" spans="1:14" x14ac:dyDescent="0.2">
      <c r="A9" s="6" t="s">
        <v>61</v>
      </c>
      <c r="B9" s="6" t="s">
        <v>62</v>
      </c>
      <c r="C9" s="6" t="s">
        <v>63</v>
      </c>
      <c r="D9" s="6" t="s">
        <v>48</v>
      </c>
      <c r="E9" s="6" t="s">
        <v>49</v>
      </c>
      <c r="F9" s="6" t="s">
        <v>64</v>
      </c>
      <c r="G9" s="6">
        <v>5</v>
      </c>
      <c r="H9" s="7">
        <v>990</v>
      </c>
      <c r="I9" s="7">
        <f>IFERROR(G9*H9,0)</f>
        <v>4950</v>
      </c>
      <c r="J9" s="7">
        <f>IFERROR(I9*الإعدادات!$E$5,0)</f>
        <v>742.5</v>
      </c>
      <c r="K9" s="7">
        <f>IFERROR(I9+J9,0)</f>
        <v>5692.5</v>
      </c>
      <c r="L9" s="6" t="s">
        <v>45</v>
      </c>
      <c r="M9" s="6" t="s">
        <v>65</v>
      </c>
      <c r="N9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7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2" spans="1:6" ht="23.25" x14ac:dyDescent="0.35">
      <c r="A2" s="1" t="s">
        <v>12</v>
      </c>
    </row>
    <row r="4" spans="1:6" ht="15" x14ac:dyDescent="0.25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31</v>
      </c>
    </row>
    <row r="5" spans="1:6" x14ac:dyDescent="0.2">
      <c r="A5" s="6" t="s">
        <v>71</v>
      </c>
      <c r="B5" s="6" t="s">
        <v>42</v>
      </c>
      <c r="C5" s="6" t="s">
        <v>72</v>
      </c>
      <c r="D5" s="6" t="s">
        <v>73</v>
      </c>
      <c r="E5" s="6" t="s">
        <v>74</v>
      </c>
      <c r="F5" s="6" t="s">
        <v>75</v>
      </c>
    </row>
    <row r="6" spans="1:6" x14ac:dyDescent="0.2">
      <c r="A6" s="6" t="s">
        <v>76</v>
      </c>
      <c r="B6" s="6" t="s">
        <v>48</v>
      </c>
      <c r="C6" s="6" t="s">
        <v>77</v>
      </c>
      <c r="D6" s="6" t="s">
        <v>78</v>
      </c>
      <c r="E6" s="6" t="s">
        <v>79</v>
      </c>
      <c r="F6" s="6" t="s">
        <v>75</v>
      </c>
    </row>
    <row r="7" spans="1:6" x14ac:dyDescent="0.2">
      <c r="A7" s="6" t="s">
        <v>80</v>
      </c>
      <c r="B7" s="6" t="s">
        <v>54</v>
      </c>
      <c r="C7" s="6" t="s">
        <v>81</v>
      </c>
      <c r="D7" s="6" t="s">
        <v>82</v>
      </c>
      <c r="E7" s="6" t="s">
        <v>83</v>
      </c>
      <c r="F7" s="6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7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2" spans="1:6" ht="23.25" x14ac:dyDescent="0.35">
      <c r="A2" s="1" t="s">
        <v>13</v>
      </c>
    </row>
    <row r="4" spans="1:6" ht="15" x14ac:dyDescent="0.25">
      <c r="A4" s="5" t="s">
        <v>84</v>
      </c>
      <c r="B4" s="5" t="s">
        <v>85</v>
      </c>
      <c r="C4" s="5" t="s">
        <v>18</v>
      </c>
      <c r="D4" s="5" t="s">
        <v>31</v>
      </c>
      <c r="E4" s="5" t="s">
        <v>86</v>
      </c>
      <c r="F4" s="5" t="s">
        <v>87</v>
      </c>
    </row>
    <row r="5" spans="1:6" x14ac:dyDescent="0.2">
      <c r="A5" s="6" t="s">
        <v>88</v>
      </c>
      <c r="B5" s="6" t="s">
        <v>43</v>
      </c>
      <c r="C5" s="6" t="s">
        <v>42</v>
      </c>
      <c r="D5" s="6" t="s">
        <v>89</v>
      </c>
      <c r="E5" s="7">
        <v>12000</v>
      </c>
      <c r="F5" s="6" t="s">
        <v>90</v>
      </c>
    </row>
    <row r="6" spans="1:6" x14ac:dyDescent="0.2">
      <c r="A6" s="6" t="s">
        <v>91</v>
      </c>
      <c r="B6" s="6" t="s">
        <v>49</v>
      </c>
      <c r="C6" s="6" t="s">
        <v>48</v>
      </c>
      <c r="D6" s="6" t="s">
        <v>89</v>
      </c>
      <c r="E6" s="7">
        <v>8500</v>
      </c>
      <c r="F6" s="6" t="s">
        <v>92</v>
      </c>
    </row>
    <row r="7" spans="1:6" x14ac:dyDescent="0.2">
      <c r="A7" s="6" t="s">
        <v>93</v>
      </c>
      <c r="B7" s="6" t="s">
        <v>55</v>
      </c>
      <c r="C7" s="6" t="s">
        <v>54</v>
      </c>
      <c r="D7" s="6" t="s">
        <v>94</v>
      </c>
      <c r="E7" s="7">
        <v>15000</v>
      </c>
      <c r="F7" s="6" t="s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8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2" spans="1:6" ht="23.25" x14ac:dyDescent="0.35">
      <c r="A2" s="1" t="s">
        <v>15</v>
      </c>
    </row>
    <row r="4" spans="1:6" ht="15" x14ac:dyDescent="0.25">
      <c r="A4" s="5" t="s">
        <v>24</v>
      </c>
      <c r="B4" s="5" t="s">
        <v>20</v>
      </c>
      <c r="C4" s="5" t="s">
        <v>26</v>
      </c>
      <c r="D4" s="5" t="s">
        <v>96</v>
      </c>
      <c r="E4" s="5" t="s">
        <v>97</v>
      </c>
      <c r="F4" s="5" t="s">
        <v>33</v>
      </c>
    </row>
    <row r="5" spans="1:6" x14ac:dyDescent="0.2">
      <c r="A5" s="6" t="s">
        <v>98</v>
      </c>
      <c r="B5" s="6" t="s">
        <v>41</v>
      </c>
      <c r="C5" s="6" t="s">
        <v>99</v>
      </c>
      <c r="D5" s="6" t="s">
        <v>100</v>
      </c>
      <c r="E5" s="7">
        <v>350</v>
      </c>
      <c r="F5" s="6" t="s">
        <v>34</v>
      </c>
    </row>
    <row r="6" spans="1:6" x14ac:dyDescent="0.2">
      <c r="A6" s="6" t="s">
        <v>101</v>
      </c>
      <c r="B6" s="6" t="s">
        <v>41</v>
      </c>
      <c r="C6" s="6" t="s">
        <v>102</v>
      </c>
      <c r="D6" s="6" t="s">
        <v>103</v>
      </c>
      <c r="E6" s="7">
        <v>200</v>
      </c>
      <c r="F6" s="6" t="s">
        <v>34</v>
      </c>
    </row>
    <row r="7" spans="1:6" x14ac:dyDescent="0.2">
      <c r="A7" s="6" t="s">
        <v>104</v>
      </c>
      <c r="B7" s="6" t="s">
        <v>53</v>
      </c>
      <c r="C7" s="6" t="s">
        <v>105</v>
      </c>
      <c r="D7" s="6" t="s">
        <v>100</v>
      </c>
      <c r="E7" s="7">
        <v>500</v>
      </c>
      <c r="F7" s="6" t="s">
        <v>65</v>
      </c>
    </row>
    <row r="8" spans="1:6" x14ac:dyDescent="0.2">
      <c r="A8" s="6" t="s">
        <v>106</v>
      </c>
      <c r="B8" s="6" t="s">
        <v>63</v>
      </c>
      <c r="C8" s="6" t="s">
        <v>107</v>
      </c>
      <c r="D8" s="6" t="s">
        <v>108</v>
      </c>
      <c r="E8" s="7">
        <v>300</v>
      </c>
      <c r="F8" s="6" t="s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29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1" spans="2:2" x14ac:dyDescent="0.2">
      <c r="B1" s="20" t="s">
        <v>0</v>
      </c>
    </row>
    <row r="2" spans="2:2" x14ac:dyDescent="0.2">
      <c r="B2" s="19"/>
    </row>
    <row r="4" spans="2:2" x14ac:dyDescent="0.2">
      <c r="B4" s="18" t="s">
        <v>3</v>
      </c>
    </row>
    <row r="5" spans="2:2" x14ac:dyDescent="0.2">
      <c r="B5" s="19"/>
    </row>
    <row r="7" spans="2:2" x14ac:dyDescent="0.2">
      <c r="B7" s="18" t="s">
        <v>7</v>
      </c>
    </row>
    <row r="8" spans="2:2" x14ac:dyDescent="0.2">
      <c r="B8" s="19"/>
    </row>
    <row r="10" spans="2:2" x14ac:dyDescent="0.2">
      <c r="B10" s="18" t="s">
        <v>8</v>
      </c>
    </row>
    <row r="11" spans="2:2" x14ac:dyDescent="0.2">
      <c r="B11" s="19"/>
    </row>
    <row r="13" spans="2:2" x14ac:dyDescent="0.2">
      <c r="B13" s="18" t="s">
        <v>12</v>
      </c>
    </row>
    <row r="14" spans="2:2" x14ac:dyDescent="0.2">
      <c r="B14" s="19"/>
    </row>
    <row r="16" spans="2:2" x14ac:dyDescent="0.2">
      <c r="B16" s="18" t="s">
        <v>13</v>
      </c>
    </row>
    <row r="17" spans="2:2" x14ac:dyDescent="0.2">
      <c r="B17" s="19"/>
    </row>
    <row r="19" spans="2:2" x14ac:dyDescent="0.2">
      <c r="B19" s="18" t="s">
        <v>15</v>
      </c>
    </row>
    <row r="20" spans="2:2" x14ac:dyDescent="0.2">
      <c r="B20" s="19"/>
    </row>
    <row r="22" spans="2:2" x14ac:dyDescent="0.2">
      <c r="B22" s="21" t="s">
        <v>14</v>
      </c>
    </row>
    <row r="23" spans="2:2" x14ac:dyDescent="0.2">
      <c r="B23" s="19"/>
    </row>
    <row r="25" spans="2:2" x14ac:dyDescent="0.2">
      <c r="B25" s="18" t="s">
        <v>21</v>
      </c>
    </row>
    <row r="26" spans="2:2" x14ac:dyDescent="0.2">
      <c r="B26" s="19"/>
    </row>
    <row r="28" spans="2:2" x14ac:dyDescent="0.2">
      <c r="B28" s="18" t="s">
        <v>22</v>
      </c>
    </row>
    <row r="29" spans="2:2" x14ac:dyDescent="0.2">
      <c r="B29" s="19"/>
    </row>
  </sheetData>
  <mergeCells count="10">
    <mergeCell ref="B1:B2"/>
    <mergeCell ref="B16:B17"/>
    <mergeCell ref="B10:B11"/>
    <mergeCell ref="B28:B29"/>
    <mergeCell ref="B19:B20"/>
    <mergeCell ref="B4:B5"/>
    <mergeCell ref="B13:B14"/>
    <mergeCell ref="B22:B23"/>
    <mergeCell ref="B7:B8"/>
    <mergeCell ref="B25:B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29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1" spans="2:5" x14ac:dyDescent="0.2">
      <c r="B1" s="20" t="s">
        <v>0</v>
      </c>
    </row>
    <row r="2" spans="2:5" ht="23.25" x14ac:dyDescent="0.35">
      <c r="B2" s="19"/>
      <c r="D2" s="1" t="s">
        <v>21</v>
      </c>
    </row>
    <row r="4" spans="2:5" ht="15" x14ac:dyDescent="0.25">
      <c r="B4" s="18" t="s">
        <v>3</v>
      </c>
      <c r="D4" s="4" t="s">
        <v>109</v>
      </c>
      <c r="E4" s="9"/>
    </row>
    <row r="5" spans="2:5" x14ac:dyDescent="0.2">
      <c r="B5" s="19"/>
    </row>
    <row r="6" spans="2:5" ht="15" x14ac:dyDescent="0.25">
      <c r="D6" s="8" t="s">
        <v>110</v>
      </c>
      <c r="E6" s="3" t="str">
        <f>IF(E4="","أدخل قيمة بحث",IF(COUNTIF(المبيعات!A:A,E4)+COUNTIF(المبيعات!D:D,E4)&gt;0,"تم العثور على نتيجة","لا توجد نتيجة"))</f>
        <v>أدخل قيمة بحث</v>
      </c>
    </row>
    <row r="7" spans="2:5" ht="15" x14ac:dyDescent="0.25">
      <c r="B7" s="18" t="s">
        <v>7</v>
      </c>
      <c r="D7" s="8" t="s">
        <v>24</v>
      </c>
      <c r="E7" s="3" t="str">
        <f>IFERROR(INDEX(المبيعات!B:B,MATCH(E4,المبيعات!A:A,0)),IFERROR(INDEX(المبيعات!B:B,MATCH(E4,المبيعات!D:D,0)),""))</f>
        <v/>
      </c>
    </row>
    <row r="8" spans="2:5" ht="15" x14ac:dyDescent="0.25">
      <c r="B8" s="19"/>
      <c r="D8" s="8" t="s">
        <v>18</v>
      </c>
      <c r="E8" s="3" t="str">
        <f>IFERROR(INDEX(المبيعات!D:D,MATCH(E4,المبيعات!A:A,0)),IFERROR(INDEX(المبيعات!D:D,MATCH(E4,المبيعات!D:D,0)),""))</f>
        <v/>
      </c>
    </row>
    <row r="9" spans="2:5" ht="15" x14ac:dyDescent="0.25">
      <c r="D9" s="8" t="s">
        <v>25</v>
      </c>
      <c r="E9" s="3" t="str">
        <f>IFERROR(INDEX(المبيعات!E:E,MATCH(E4,المبيعات!A:A,0)),IFERROR(INDEX(المبيعات!E:E,MATCH(E4,المبيعات!D:D,0)),""))</f>
        <v/>
      </c>
    </row>
    <row r="10" spans="2:5" ht="15" x14ac:dyDescent="0.25">
      <c r="B10" s="18" t="s">
        <v>8</v>
      </c>
      <c r="D10" s="8" t="s">
        <v>19</v>
      </c>
      <c r="E10" s="3">
        <f>IFERROR(INDEX(المبيعات!K:K,MATCH(E4,المبيعات!A:A,0)),IFERROR(INDEX(المبيعات!K:K,MATCH(E4,المبيعات!D:D,0)),0))</f>
        <v>0</v>
      </c>
    </row>
    <row r="11" spans="2:5" ht="15" x14ac:dyDescent="0.25">
      <c r="B11" s="19"/>
      <c r="D11" s="8" t="s">
        <v>31</v>
      </c>
      <c r="E11" s="3" t="str">
        <f>IFERROR(INDEX(المبيعات!L:L,MATCH(E4,المبيعات!A:A,0)),IFERROR(INDEX(المبيعات!L:L,MATCH(E4,المبيعات!D:D,0)),""))</f>
        <v/>
      </c>
    </row>
    <row r="13" spans="2:5" x14ac:dyDescent="0.2">
      <c r="B13" s="18" t="s">
        <v>12</v>
      </c>
    </row>
    <row r="14" spans="2:5" x14ac:dyDescent="0.2">
      <c r="B14" s="19"/>
    </row>
    <row r="16" spans="2:5" x14ac:dyDescent="0.2">
      <c r="B16" s="18" t="s">
        <v>13</v>
      </c>
    </row>
    <row r="17" spans="2:2" x14ac:dyDescent="0.2">
      <c r="B17" s="19"/>
    </row>
    <row r="19" spans="2:2" x14ac:dyDescent="0.2">
      <c r="B19" s="18" t="s">
        <v>15</v>
      </c>
    </row>
    <row r="20" spans="2:2" x14ac:dyDescent="0.2">
      <c r="B20" s="19"/>
    </row>
    <row r="22" spans="2:2" x14ac:dyDescent="0.2">
      <c r="B22" s="18" t="s">
        <v>14</v>
      </c>
    </row>
    <row r="23" spans="2:2" x14ac:dyDescent="0.2">
      <c r="B23" s="19"/>
    </row>
    <row r="25" spans="2:2" x14ac:dyDescent="0.2">
      <c r="B25" s="21" t="s">
        <v>21</v>
      </c>
    </row>
    <row r="26" spans="2:2" x14ac:dyDescent="0.2">
      <c r="B26" s="19"/>
    </row>
    <row r="28" spans="2:2" x14ac:dyDescent="0.2">
      <c r="B28" s="18" t="s">
        <v>22</v>
      </c>
    </row>
    <row r="29" spans="2:2" x14ac:dyDescent="0.2">
      <c r="B29" s="19"/>
    </row>
  </sheetData>
  <mergeCells count="10">
    <mergeCell ref="B1:B2"/>
    <mergeCell ref="B16:B17"/>
    <mergeCell ref="B10:B11"/>
    <mergeCell ref="B28:B29"/>
    <mergeCell ref="B19:B20"/>
    <mergeCell ref="B4:B5"/>
    <mergeCell ref="B13:B14"/>
    <mergeCell ref="B22:B23"/>
    <mergeCell ref="B7:B8"/>
    <mergeCell ref="B25:B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29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1" spans="2:5" x14ac:dyDescent="0.2">
      <c r="B1" s="20" t="s">
        <v>0</v>
      </c>
    </row>
    <row r="2" spans="2:5" ht="23.25" x14ac:dyDescent="0.35">
      <c r="B2" s="19"/>
      <c r="D2" s="1" t="s">
        <v>111</v>
      </c>
    </row>
    <row r="4" spans="2:5" x14ac:dyDescent="0.2">
      <c r="B4" s="18" t="s">
        <v>3</v>
      </c>
      <c r="D4" s="6" t="s">
        <v>112</v>
      </c>
      <c r="E4" s="9" t="s">
        <v>113</v>
      </c>
    </row>
    <row r="5" spans="2:5" x14ac:dyDescent="0.2">
      <c r="B5" s="19"/>
      <c r="D5" s="6" t="s">
        <v>114</v>
      </c>
      <c r="E5" s="12">
        <v>0.15</v>
      </c>
    </row>
    <row r="6" spans="2:5" x14ac:dyDescent="0.2">
      <c r="D6" s="6" t="s">
        <v>115</v>
      </c>
      <c r="E6" s="9" t="s">
        <v>116</v>
      </c>
    </row>
    <row r="7" spans="2:5" x14ac:dyDescent="0.2">
      <c r="B7" s="18" t="s">
        <v>7</v>
      </c>
      <c r="D7" s="6" t="s">
        <v>117</v>
      </c>
      <c r="E7" s="9">
        <v>1005</v>
      </c>
    </row>
    <row r="8" spans="2:5" x14ac:dyDescent="0.2">
      <c r="B8" s="19"/>
    </row>
    <row r="10" spans="2:5" x14ac:dyDescent="0.2">
      <c r="B10" s="18" t="s">
        <v>8</v>
      </c>
    </row>
    <row r="11" spans="2:5" x14ac:dyDescent="0.2">
      <c r="B11" s="19"/>
    </row>
    <row r="13" spans="2:5" x14ac:dyDescent="0.2">
      <c r="B13" s="18" t="s">
        <v>12</v>
      </c>
    </row>
    <row r="14" spans="2:5" x14ac:dyDescent="0.2">
      <c r="B14" s="19"/>
    </row>
    <row r="16" spans="2:5" x14ac:dyDescent="0.2">
      <c r="B16" s="18" t="s">
        <v>13</v>
      </c>
    </row>
    <row r="17" spans="2:2" x14ac:dyDescent="0.2">
      <c r="B17" s="19"/>
    </row>
    <row r="19" spans="2:2" x14ac:dyDescent="0.2">
      <c r="B19" s="18" t="s">
        <v>15</v>
      </c>
    </row>
    <row r="20" spans="2:2" x14ac:dyDescent="0.2">
      <c r="B20" s="19"/>
    </row>
    <row r="22" spans="2:2" x14ac:dyDescent="0.2">
      <c r="B22" s="18" t="s">
        <v>14</v>
      </c>
    </row>
    <row r="23" spans="2:2" x14ac:dyDescent="0.2">
      <c r="B23" s="19"/>
    </row>
    <row r="25" spans="2:2" x14ac:dyDescent="0.2">
      <c r="B25" s="18" t="s">
        <v>21</v>
      </c>
    </row>
    <row r="26" spans="2:2" x14ac:dyDescent="0.2">
      <c r="B26" s="19"/>
    </row>
    <row r="28" spans="2:2" x14ac:dyDescent="0.2">
      <c r="B28" s="21" t="s">
        <v>22</v>
      </c>
    </row>
    <row r="29" spans="2:2" x14ac:dyDescent="0.2">
      <c r="B29" s="19"/>
    </row>
  </sheetData>
  <mergeCells count="10">
    <mergeCell ref="B1:B2"/>
    <mergeCell ref="B16:B17"/>
    <mergeCell ref="B10:B11"/>
    <mergeCell ref="B28:B29"/>
    <mergeCell ref="B19:B20"/>
    <mergeCell ref="B4:B5"/>
    <mergeCell ref="B13:B14"/>
    <mergeCell ref="B22:B23"/>
    <mergeCell ref="B7:B8"/>
    <mergeCell ref="B25:B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4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2" spans="1:5" ht="23.25" x14ac:dyDescent="0.35">
      <c r="A2" s="1" t="s">
        <v>118</v>
      </c>
    </row>
    <row r="4" spans="1:5" ht="15" x14ac:dyDescent="0.25">
      <c r="A4" s="5" t="s">
        <v>36</v>
      </c>
      <c r="B4" s="5" t="s">
        <v>24</v>
      </c>
      <c r="C4" s="5" t="s">
        <v>18</v>
      </c>
      <c r="D4" s="5" t="s">
        <v>19</v>
      </c>
      <c r="E4" s="5" t="s">
        <v>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D29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1" spans="2:4" x14ac:dyDescent="0.2">
      <c r="B1" s="20" t="s">
        <v>0</v>
      </c>
    </row>
    <row r="2" spans="2:4" ht="23.25" x14ac:dyDescent="0.35">
      <c r="B2" s="19"/>
      <c r="D2" s="1" t="s">
        <v>119</v>
      </c>
    </row>
    <row r="4" spans="2:4" ht="15" x14ac:dyDescent="0.25">
      <c r="B4" s="18" t="s">
        <v>3</v>
      </c>
      <c r="D4" s="4" t="s">
        <v>120</v>
      </c>
    </row>
    <row r="5" spans="2:4" ht="15" x14ac:dyDescent="0.25">
      <c r="B5" s="19"/>
      <c r="D5" s="4" t="s">
        <v>121</v>
      </c>
    </row>
    <row r="6" spans="2:4" ht="15" x14ac:dyDescent="0.25">
      <c r="D6" s="4" t="s">
        <v>122</v>
      </c>
    </row>
    <row r="7" spans="2:4" ht="15" x14ac:dyDescent="0.25">
      <c r="B7" s="18" t="s">
        <v>7</v>
      </c>
      <c r="D7" s="4" t="s">
        <v>123</v>
      </c>
    </row>
    <row r="8" spans="2:4" ht="15" x14ac:dyDescent="0.25">
      <c r="B8" s="19"/>
      <c r="D8" s="4" t="s">
        <v>124</v>
      </c>
    </row>
    <row r="9" spans="2:4" ht="15" x14ac:dyDescent="0.25">
      <c r="D9" s="4" t="s">
        <v>125</v>
      </c>
    </row>
    <row r="10" spans="2:4" x14ac:dyDescent="0.2">
      <c r="B10" s="18" t="s">
        <v>8</v>
      </c>
    </row>
    <row r="11" spans="2:4" x14ac:dyDescent="0.2">
      <c r="B11" s="19"/>
    </row>
    <row r="13" spans="2:4" x14ac:dyDescent="0.2">
      <c r="B13" s="18" t="s">
        <v>12</v>
      </c>
    </row>
    <row r="14" spans="2:4" x14ac:dyDescent="0.2">
      <c r="B14" s="19"/>
    </row>
    <row r="16" spans="2:4" x14ac:dyDescent="0.2">
      <c r="B16" s="18" t="s">
        <v>13</v>
      </c>
    </row>
    <row r="17" spans="2:2" x14ac:dyDescent="0.2">
      <c r="B17" s="19"/>
    </row>
    <row r="19" spans="2:2" x14ac:dyDescent="0.2">
      <c r="B19" s="18" t="s">
        <v>15</v>
      </c>
    </row>
    <row r="20" spans="2:2" x14ac:dyDescent="0.2">
      <c r="B20" s="19"/>
    </row>
    <row r="22" spans="2:2" x14ac:dyDescent="0.2">
      <c r="B22" s="18" t="s">
        <v>14</v>
      </c>
    </row>
    <row r="23" spans="2:2" x14ac:dyDescent="0.2">
      <c r="B23" s="19"/>
    </row>
    <row r="25" spans="2:2" x14ac:dyDescent="0.2">
      <c r="B25" s="18" t="s">
        <v>21</v>
      </c>
    </row>
    <row r="26" spans="2:2" x14ac:dyDescent="0.2">
      <c r="B26" s="19"/>
    </row>
    <row r="28" spans="2:2" x14ac:dyDescent="0.2">
      <c r="B28" s="18" t="s">
        <v>22</v>
      </c>
    </row>
    <row r="29" spans="2:2" x14ac:dyDescent="0.2">
      <c r="B29" s="19"/>
    </row>
  </sheetData>
  <mergeCells count="10">
    <mergeCell ref="B1:B2"/>
    <mergeCell ref="B16:B17"/>
    <mergeCell ref="B10:B11"/>
    <mergeCell ref="B28:B29"/>
    <mergeCell ref="B19:B20"/>
    <mergeCell ref="B4:B5"/>
    <mergeCell ref="B13:B14"/>
    <mergeCell ref="B22:B23"/>
    <mergeCell ref="B7:B8"/>
    <mergeCell ref="B25:B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L7"/>
  <sheetViews>
    <sheetView showGridLines="0" rightToLeft="1" workbookViewId="0"/>
  </sheetViews>
  <sheetFormatPr defaultRowHeight="14.25" x14ac:dyDescent="0.2"/>
  <cols>
    <col min="1" max="1" width="3" customWidth="1"/>
    <col min="2" max="2" width="18" customWidth="1"/>
    <col min="3" max="16" width="14" customWidth="1"/>
  </cols>
  <sheetData>
    <row r="2" spans="1:12" x14ac:dyDescent="0.2">
      <c r="A2" t="s">
        <v>4</v>
      </c>
      <c r="B2">
        <f>SUM(المبيعات!K5:K1000)</f>
        <v>24552.5</v>
      </c>
      <c r="D2" t="s">
        <v>41</v>
      </c>
      <c r="E2">
        <f>SUMIF(المبيعات!C:C,D2,المبيعات!K:K)</f>
        <v>8050</v>
      </c>
      <c r="F2">
        <f>SUMIF(المصروفات!B:B,D2,المصروفات!E:E)</f>
        <v>550</v>
      </c>
      <c r="H2" t="s">
        <v>45</v>
      </c>
      <c r="I2">
        <f>COUNTIF(المبيعات!L:L,H2)</f>
        <v>3</v>
      </c>
      <c r="K2" t="str">
        <f>العملاء!B5</f>
        <v>شركة المدار</v>
      </c>
      <c r="L2">
        <f>SUMIF(المبيعات!D:D,K2,المبيعات!K:K)</f>
        <v>7705</v>
      </c>
    </row>
    <row r="3" spans="1:12" x14ac:dyDescent="0.2">
      <c r="A3" t="s">
        <v>5</v>
      </c>
      <c r="B3">
        <f>SUM(المصروفات!E5:E1000)</f>
        <v>1350</v>
      </c>
      <c r="D3" t="s">
        <v>53</v>
      </c>
      <c r="E3">
        <f>SUMIF(المبيعات!C:C,D3,المبيعات!K:K)</f>
        <v>10810</v>
      </c>
      <c r="F3">
        <f>SUMIF(المصروفات!B:B,D3,المصروفات!E:E)</f>
        <v>500</v>
      </c>
      <c r="H3" t="s">
        <v>32</v>
      </c>
      <c r="I3">
        <f>COUNTIF(المبيعات!L:L,H3)</f>
        <v>1</v>
      </c>
      <c r="K3" t="str">
        <f>العملاء!B6</f>
        <v>مؤسسة النور</v>
      </c>
      <c r="L3">
        <f>SUMIF(المبيعات!D:D,K3,المبيعات!K:K)</f>
        <v>8567.5</v>
      </c>
    </row>
    <row r="4" spans="1:12" x14ac:dyDescent="0.2">
      <c r="A4" t="s">
        <v>6</v>
      </c>
      <c r="B4">
        <f>B2-B3</f>
        <v>23202.5</v>
      </c>
      <c r="D4" t="s">
        <v>63</v>
      </c>
      <c r="E4">
        <f>SUMIF(المبيعات!C:C,D4,المبيعات!K:K)</f>
        <v>5692.5</v>
      </c>
      <c r="F4">
        <f>SUMIF(المصروفات!B:B,D4,المصروفات!E:E)</f>
        <v>300</v>
      </c>
      <c r="H4" t="s">
        <v>60</v>
      </c>
      <c r="I4">
        <f>COUNTIF(المبيعات!L:L,H4)</f>
        <v>1</v>
      </c>
      <c r="K4" t="str">
        <f>العملاء!B7</f>
        <v>شركة السرعة</v>
      </c>
      <c r="L4">
        <f>SUMIF(المبيعات!D:D,K4,المبيعات!K:K)</f>
        <v>8280</v>
      </c>
    </row>
    <row r="5" spans="1:12" x14ac:dyDescent="0.2">
      <c r="A5" t="s">
        <v>9</v>
      </c>
      <c r="B5">
        <f>COUNTIF(المبيعات!A5:A1000,"&lt;&gt;")</f>
        <v>5</v>
      </c>
      <c r="D5" t="s">
        <v>126</v>
      </c>
      <c r="E5">
        <f>SUMIF(المبيعات!C:C,D5,المبيعات!K:K)</f>
        <v>0</v>
      </c>
      <c r="F5">
        <f>SUMIF(المصروفات!B:B,D5,المصروفات!E:E)</f>
        <v>0</v>
      </c>
    </row>
    <row r="6" spans="1:12" x14ac:dyDescent="0.2">
      <c r="A6" t="s">
        <v>10</v>
      </c>
      <c r="B6">
        <f>COUNTIF(العملاء!A5:A1000,"&lt;&gt;")</f>
        <v>3</v>
      </c>
      <c r="D6" t="s">
        <v>127</v>
      </c>
      <c r="E6">
        <f>SUMIF(المبيعات!C:C,D6,المبيعات!K:K)</f>
        <v>0</v>
      </c>
      <c r="F6">
        <f>SUMIF(المصروفات!B:B,D6,المصروفات!E:E)</f>
        <v>0</v>
      </c>
    </row>
    <row r="7" spans="1:12" x14ac:dyDescent="0.2">
      <c r="A7" t="s">
        <v>11</v>
      </c>
      <c r="B7">
        <f>COUNTIF(المبيعات!L5:L1000,"غير مدفوع")</f>
        <v>1</v>
      </c>
      <c r="D7" t="s">
        <v>128</v>
      </c>
      <c r="E7">
        <f>SUMIF(المبيعات!C:C,D7,المبيعات!K:K)</f>
        <v>0</v>
      </c>
      <c r="F7">
        <f>SUMIF(المصروفات!B:B,D7,المصروفات!E:E)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13</vt:i4>
      </vt:variant>
    </vt:vector>
  </HeadingPairs>
  <TitlesOfParts>
    <vt:vector size="13" baseType="lpstr">
      <vt:lpstr>Dashboard</vt:lpstr>
      <vt:lpstr>إدخال فاتورة</vt:lpstr>
      <vt:lpstr>المبيعات</vt:lpstr>
      <vt:lpstr>العملاء</vt:lpstr>
      <vt:lpstr>المشاريع</vt:lpstr>
      <vt:lpstr>المصروفات</vt:lpstr>
      <vt:lpstr>التقارير</vt:lpstr>
      <vt:lpstr>البحث</vt:lpstr>
      <vt:lpstr>الإعدادات</vt:lpstr>
      <vt:lpstr>أرشيف PDF</vt:lpstr>
      <vt:lpstr>تعليمات</vt:lpstr>
      <vt:lpstr>قوائم</vt:lpstr>
      <vt:lpstr>مساعد الداش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nawaf albishri</cp:lastModifiedBy>
  <dcterms:created xsi:type="dcterms:W3CDTF">2026-03-08T01:37:06Z</dcterms:created>
  <dcterms:modified xsi:type="dcterms:W3CDTF">2026-03-08T01:39:44Z</dcterms:modified>
</cp:coreProperties>
</file>