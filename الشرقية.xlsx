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0" documentId="8_{87A28745-F7B5-4C2C-B452-9BD514734871}" xr6:coauthVersionLast="47" xr6:coauthVersionMax="47" xr10:uidLastSave="{00000000-0000-0000-0000-000000000000}"/>
  <bookViews>
    <workbookView xWindow="-120" yWindow="-120" windowWidth="29040" windowHeight="15720" xr2:uid="{8EA8B9C7-8432-4DF5-B157-967CB7BC02B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J33" i="1" s="1"/>
  <c r="S90" i="1"/>
  <c r="S81" i="1"/>
  <c r="S78" i="1"/>
  <c r="S75" i="1"/>
  <c r="S70" i="1"/>
  <c r="S65" i="1"/>
  <c r="S55" i="1"/>
  <c r="S48" i="1"/>
  <c r="S41" i="1"/>
  <c r="S27" i="1"/>
  <c r="N16" i="1" l="1"/>
</calcChain>
</file>

<file path=xl/sharedStrings.xml><?xml version="1.0" encoding="utf-8"?>
<sst xmlns="http://schemas.openxmlformats.org/spreadsheetml/2006/main" count="122" uniqueCount="74">
  <si>
    <t xml:space="preserve">محركات </t>
  </si>
  <si>
    <t>غسيل</t>
  </si>
  <si>
    <t>قير</t>
  </si>
  <si>
    <t>فلاتر</t>
  </si>
  <si>
    <t xml:space="preserve">مشتقات </t>
  </si>
  <si>
    <t>المدينة</t>
  </si>
  <si>
    <t>عدد المواقع والمراكز</t>
  </si>
  <si>
    <t>الخدمة متوفرة غسيل وزيوت او احدهما</t>
  </si>
  <si>
    <t>ملاحظات</t>
  </si>
  <si>
    <t>الجبيل</t>
  </si>
  <si>
    <t xml:space="preserve">جميعها </t>
  </si>
  <si>
    <t>راس تنورة</t>
  </si>
  <si>
    <t>القطيف</t>
  </si>
  <si>
    <t>الدمام</t>
  </si>
  <si>
    <t>جميعها</t>
  </si>
  <si>
    <t>الخبر</t>
  </si>
  <si>
    <t>الخفجي</t>
  </si>
  <si>
    <t>بقيق</t>
  </si>
  <si>
    <t>الاحساء</t>
  </si>
  <si>
    <t>الرياض</t>
  </si>
  <si>
    <t>سعد</t>
  </si>
  <si>
    <t>الحسي</t>
  </si>
  <si>
    <t>الدرعية</t>
  </si>
  <si>
    <t>الخرج</t>
  </si>
  <si>
    <t>حوطة بني تميم</t>
  </si>
  <si>
    <t>المجمعة</t>
  </si>
  <si>
    <t>السليل</t>
  </si>
  <si>
    <t>وادي الدواسر</t>
  </si>
  <si>
    <t>رماح</t>
  </si>
  <si>
    <t>الدوادمي</t>
  </si>
  <si>
    <t>ضرماء</t>
  </si>
  <si>
    <t>عفيف</t>
  </si>
  <si>
    <t>جدة</t>
  </si>
  <si>
    <t>مكة</t>
  </si>
  <si>
    <t>رابغ</t>
  </si>
  <si>
    <t>القنفذة</t>
  </si>
  <si>
    <t>الطائف</t>
  </si>
  <si>
    <t>الجموم</t>
  </si>
  <si>
    <t>ينبع</t>
  </si>
  <si>
    <t>المسيجيد</t>
  </si>
  <si>
    <t>بدر</t>
  </si>
  <si>
    <t>مهد الذهب</t>
  </si>
  <si>
    <t>اليتمة</t>
  </si>
  <si>
    <t>تبوك</t>
  </si>
  <si>
    <t>ضباء</t>
  </si>
  <si>
    <t>الوجه</t>
  </si>
  <si>
    <t>املج</t>
  </si>
  <si>
    <t>القصيم</t>
  </si>
  <si>
    <t>عنيزة</t>
  </si>
  <si>
    <t>البكيرية</t>
  </si>
  <si>
    <t>بريدة</t>
  </si>
  <si>
    <t>حزم الجلاميد</t>
  </si>
  <si>
    <t>الحدود الشمالية</t>
  </si>
  <si>
    <t>عرعر</t>
  </si>
  <si>
    <t>طريف</t>
  </si>
  <si>
    <t>جازان</t>
  </si>
  <si>
    <t>بيش</t>
  </si>
  <si>
    <t>فرسان</t>
  </si>
  <si>
    <t>الدرب</t>
  </si>
  <si>
    <t>نجران</t>
  </si>
  <si>
    <t>شرورة</t>
  </si>
  <si>
    <t>الجوف</t>
  </si>
  <si>
    <t>سكاكا</t>
  </si>
  <si>
    <t>حائل</t>
  </si>
  <si>
    <t>أبها</t>
  </si>
  <si>
    <t>بيشة</t>
  </si>
  <si>
    <t>خميس مشيط</t>
  </si>
  <si>
    <t>مريه والشغف</t>
  </si>
  <si>
    <t>احد رفيدة</t>
  </si>
  <si>
    <t xml:space="preserve">جميعها  </t>
  </si>
  <si>
    <t>رجال المع</t>
  </si>
  <si>
    <t>الباحة</t>
  </si>
  <si>
    <t>الإجمالي</t>
  </si>
  <si>
    <t xml:space="preserve">االميدان عللى مدار الساعة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</si>
</sst>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2"/>
      <color theme="1"/>
      <name val="Almohanad long kaf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1" fillId="0" borderId="0" xfId="0" applyFont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7CE5-0A0A-4A8B-B8B9-B2AC45D4AD0D}">
  <dimension ref="G6:W92"/>
  <sheetViews>
    <sheetView rightToLeft="1" tabSelected="1" zoomScale="70" zoomScaleNormal="70" workbookViewId="0">
      <selection activeCell="M36" sqref="M36"/>
    </sheetView>
  </sheetViews>
  <sheetFormatPr defaultRowHeight="14.25" x14ac:dyDescent="0.2"/>
  <cols>
    <col min="7" max="7" width="16" customWidth="1"/>
    <col min="8" max="8" width="13.25" customWidth="1"/>
    <col min="9" max="9" width="17.875" customWidth="1"/>
    <col min="10" max="10" width="16.875" customWidth="1"/>
    <col min="11" max="11" width="15.25" customWidth="1"/>
    <col min="14" max="14" width="14.875" customWidth="1"/>
    <col min="15" max="15" width="12.25" customWidth="1"/>
    <col min="18" max="18" width="13.625" customWidth="1"/>
    <col min="19" max="19" width="22.25" customWidth="1"/>
    <col min="20" max="20" width="27" customWidth="1"/>
    <col min="21" max="21" width="27.625" customWidth="1"/>
    <col min="23" max="23" width="20.125" customWidth="1"/>
  </cols>
  <sheetData>
    <row r="6" spans="8:14" x14ac:dyDescent="0.2">
      <c r="H6" t="s">
        <v>0</v>
      </c>
      <c r="J6">
        <v>11531136</v>
      </c>
    </row>
    <row r="9" spans="8:14" x14ac:dyDescent="0.2">
      <c r="H9" t="s">
        <v>1</v>
      </c>
      <c r="J9">
        <v>34514496</v>
      </c>
    </row>
    <row r="12" spans="8:14" x14ac:dyDescent="0.2">
      <c r="H12" t="s">
        <v>2</v>
      </c>
      <c r="J12">
        <v>613059</v>
      </c>
    </row>
    <row r="14" spans="8:14" x14ac:dyDescent="0.2">
      <c r="H14" t="s">
        <v>3</v>
      </c>
      <c r="J14">
        <v>2291571</v>
      </c>
    </row>
    <row r="16" spans="8:14" x14ac:dyDescent="0.2">
      <c r="N16">
        <f>J6+J9+J12+J14+J17</f>
        <v>49745372</v>
      </c>
    </row>
    <row r="17" spans="8:23" ht="15" thickBot="1" x14ac:dyDescent="0.25">
      <c r="H17" t="s">
        <v>4</v>
      </c>
      <c r="J17">
        <v>795110</v>
      </c>
    </row>
    <row r="18" spans="8:23" ht="79.5" thickBot="1" x14ac:dyDescent="0.25">
      <c r="R18" s="1" t="s">
        <v>5</v>
      </c>
      <c r="S18" s="2" t="s">
        <v>6</v>
      </c>
      <c r="T18" s="2" t="s">
        <v>7</v>
      </c>
      <c r="U18" s="2" t="s">
        <v>8</v>
      </c>
    </row>
    <row r="19" spans="8:23" ht="16.5" thickBot="1" x14ac:dyDescent="0.25">
      <c r="R19" s="3" t="s">
        <v>9</v>
      </c>
      <c r="S19" s="4">
        <v>43</v>
      </c>
      <c r="T19" s="4" t="s">
        <v>10</v>
      </c>
      <c r="U19" s="4">
        <v>4</v>
      </c>
      <c r="W19" t="s">
        <v>73</v>
      </c>
    </row>
    <row r="20" spans="8:23" ht="16.5" thickBot="1" x14ac:dyDescent="0.25">
      <c r="R20" s="3" t="s">
        <v>11</v>
      </c>
      <c r="S20" s="4">
        <v>9</v>
      </c>
      <c r="T20" s="4"/>
      <c r="U20" s="4">
        <v>2</v>
      </c>
    </row>
    <row r="21" spans="8:23" ht="16.5" thickBot="1" x14ac:dyDescent="0.25">
      <c r="R21" s="3" t="s">
        <v>12</v>
      </c>
      <c r="S21" s="4">
        <v>6</v>
      </c>
      <c r="T21" s="4"/>
      <c r="U21" s="4">
        <v>1</v>
      </c>
    </row>
    <row r="22" spans="8:23" ht="16.5" thickBot="1" x14ac:dyDescent="0.25">
      <c r="R22" s="3" t="s">
        <v>13</v>
      </c>
      <c r="S22" s="4">
        <v>4</v>
      </c>
      <c r="T22" s="4" t="s">
        <v>14</v>
      </c>
      <c r="U22" s="4">
        <v>1</v>
      </c>
      <c r="V22">
        <v>2</v>
      </c>
    </row>
    <row r="23" spans="8:23" ht="16.5" thickBot="1" x14ac:dyDescent="0.25">
      <c r="R23" s="3" t="s">
        <v>15</v>
      </c>
      <c r="S23" s="4">
        <v>12</v>
      </c>
      <c r="T23" s="4" t="s">
        <v>14</v>
      </c>
      <c r="U23" s="4">
        <v>2</v>
      </c>
    </row>
    <row r="24" spans="8:23" ht="16.5" thickBot="1" x14ac:dyDescent="0.25">
      <c r="R24" s="3" t="s">
        <v>16</v>
      </c>
      <c r="S24" s="4">
        <v>7</v>
      </c>
      <c r="T24" s="4"/>
      <c r="U24" s="4">
        <v>3</v>
      </c>
    </row>
    <row r="25" spans="8:23" ht="16.5" thickBot="1" x14ac:dyDescent="0.25">
      <c r="R25" s="3" t="s">
        <v>17</v>
      </c>
      <c r="S25" s="4">
        <v>7</v>
      </c>
      <c r="T25" s="4"/>
      <c r="U25" s="4"/>
      <c r="V25">
        <v>3</v>
      </c>
    </row>
    <row r="26" spans="8:23" ht="16.5" thickBot="1" x14ac:dyDescent="0.25">
      <c r="R26" s="3" t="s">
        <v>18</v>
      </c>
      <c r="S26" s="4">
        <v>19</v>
      </c>
      <c r="T26" s="4" t="s">
        <v>10</v>
      </c>
      <c r="U26" s="4"/>
      <c r="V26">
        <v>3</v>
      </c>
    </row>
    <row r="27" spans="8:23" ht="16.5" thickBot="1" x14ac:dyDescent="0.25">
      <c r="R27" s="5" t="s">
        <v>72</v>
      </c>
      <c r="S27" s="6">
        <f>SUM(S19:S26)</f>
        <v>107</v>
      </c>
      <c r="T27" s="6"/>
      <c r="U27" s="6"/>
    </row>
    <row r="28" spans="8:23" ht="16.5" thickBot="1" x14ac:dyDescent="0.25">
      <c r="R28" s="3" t="s">
        <v>19</v>
      </c>
      <c r="S28" s="4">
        <v>53</v>
      </c>
      <c r="T28" s="4" t="s">
        <v>14</v>
      </c>
      <c r="U28" s="4"/>
    </row>
    <row r="29" spans="8:23" ht="16.5" thickBot="1" x14ac:dyDescent="0.25">
      <c r="R29" s="3" t="s">
        <v>20</v>
      </c>
      <c r="S29" s="4">
        <v>1</v>
      </c>
      <c r="T29" s="4"/>
      <c r="U29" s="4"/>
    </row>
    <row r="30" spans="8:23" ht="16.5" thickBot="1" x14ac:dyDescent="0.25">
      <c r="I30">
        <v>1300</v>
      </c>
      <c r="R30" s="3" t="s">
        <v>21</v>
      </c>
      <c r="S30" s="4">
        <v>1</v>
      </c>
      <c r="T30" s="4"/>
      <c r="U30" s="4"/>
    </row>
    <row r="31" spans="8:23" ht="16.5" thickBot="1" x14ac:dyDescent="0.25">
      <c r="R31" s="3" t="s">
        <v>22</v>
      </c>
      <c r="S31" s="4">
        <v>1</v>
      </c>
      <c r="T31" s="4"/>
      <c r="U31" s="4"/>
    </row>
    <row r="32" spans="8:23" ht="16.5" thickBot="1" x14ac:dyDescent="0.25">
      <c r="J32">
        <f>I30*28</f>
        <v>36400</v>
      </c>
      <c r="R32" s="3" t="s">
        <v>23</v>
      </c>
      <c r="S32" s="4">
        <v>3</v>
      </c>
      <c r="T32" s="4"/>
      <c r="U32" s="4"/>
    </row>
    <row r="33" spans="7:21" ht="32.25" thickBot="1" x14ac:dyDescent="0.25">
      <c r="G33">
        <v>3</v>
      </c>
      <c r="J33">
        <f>J32*4</f>
        <v>145600</v>
      </c>
      <c r="R33" s="3" t="s">
        <v>24</v>
      </c>
      <c r="S33" s="4">
        <v>3</v>
      </c>
      <c r="T33" s="4"/>
      <c r="U33" s="4"/>
    </row>
    <row r="34" spans="7:21" ht="16.5" thickBot="1" x14ac:dyDescent="0.25">
      <c r="R34" s="3" t="s">
        <v>25</v>
      </c>
      <c r="S34" s="4">
        <v>3</v>
      </c>
      <c r="T34" s="4"/>
      <c r="U34" s="4"/>
    </row>
    <row r="35" spans="7:21" ht="16.5" thickBot="1" x14ac:dyDescent="0.25">
      <c r="R35" s="3" t="s">
        <v>26</v>
      </c>
      <c r="S35" s="4">
        <v>2</v>
      </c>
      <c r="T35" s="4"/>
      <c r="U35" s="4"/>
    </row>
    <row r="36" spans="7:21" ht="32.25" thickBot="1" x14ac:dyDescent="0.25">
      <c r="R36" s="3" t="s">
        <v>27</v>
      </c>
      <c r="S36" s="4">
        <v>2</v>
      </c>
      <c r="T36" s="4"/>
      <c r="U36" s="4"/>
    </row>
    <row r="37" spans="7:21" ht="16.5" thickBot="1" x14ac:dyDescent="0.25">
      <c r="R37" s="3" t="s">
        <v>28</v>
      </c>
      <c r="S37" s="4">
        <v>1</v>
      </c>
      <c r="T37" s="4"/>
      <c r="U37" s="4"/>
    </row>
    <row r="38" spans="7:21" ht="16.5" thickBot="1" x14ac:dyDescent="0.25">
      <c r="R38" s="3" t="s">
        <v>29</v>
      </c>
      <c r="S38" s="4">
        <v>3</v>
      </c>
      <c r="T38" s="4"/>
      <c r="U38" s="4"/>
    </row>
    <row r="39" spans="7:21" ht="16.5" thickBot="1" x14ac:dyDescent="0.25">
      <c r="R39" s="3" t="s">
        <v>30</v>
      </c>
      <c r="S39" s="4">
        <v>1</v>
      </c>
      <c r="T39" s="4"/>
      <c r="U39" s="4"/>
    </row>
    <row r="40" spans="7:21" ht="16.5" thickBot="1" x14ac:dyDescent="0.25">
      <c r="R40" s="3" t="s">
        <v>31</v>
      </c>
      <c r="S40" s="4">
        <v>1</v>
      </c>
      <c r="T40" s="4"/>
      <c r="U40" s="4"/>
    </row>
    <row r="41" spans="7:21" ht="16.5" thickBot="1" x14ac:dyDescent="0.25">
      <c r="R41" s="5" t="s">
        <v>72</v>
      </c>
      <c r="S41" s="6">
        <f>SUM(S28:S40)</f>
        <v>75</v>
      </c>
      <c r="T41" s="6"/>
      <c r="U41" s="6"/>
    </row>
    <row r="42" spans="7:21" ht="16.5" thickBot="1" x14ac:dyDescent="0.25">
      <c r="R42" s="3" t="s">
        <v>32</v>
      </c>
      <c r="S42" s="4">
        <v>19</v>
      </c>
      <c r="T42" s="4" t="s">
        <v>10</v>
      </c>
      <c r="U42" s="4"/>
    </row>
    <row r="43" spans="7:21" ht="16.5" thickBot="1" x14ac:dyDescent="0.25">
      <c r="R43" s="3" t="s">
        <v>33</v>
      </c>
      <c r="S43" s="4">
        <v>14</v>
      </c>
      <c r="T43" s="4" t="s">
        <v>10</v>
      </c>
      <c r="U43" s="4"/>
    </row>
    <row r="44" spans="7:21" ht="16.5" thickBot="1" x14ac:dyDescent="0.25">
      <c r="R44" s="3" t="s">
        <v>34</v>
      </c>
      <c r="S44" s="4">
        <v>7</v>
      </c>
      <c r="T44" s="4"/>
      <c r="U44" s="4"/>
    </row>
    <row r="45" spans="7:21" ht="16.5" thickBot="1" x14ac:dyDescent="0.25">
      <c r="R45" s="3" t="s">
        <v>35</v>
      </c>
      <c r="S45" s="4">
        <v>3</v>
      </c>
      <c r="T45" s="4"/>
      <c r="U45" s="4"/>
    </row>
    <row r="46" spans="7:21" ht="16.5" thickBot="1" x14ac:dyDescent="0.25">
      <c r="R46" s="3" t="s">
        <v>36</v>
      </c>
      <c r="S46" s="4">
        <v>4</v>
      </c>
      <c r="T46" s="4"/>
      <c r="U46" s="4"/>
    </row>
    <row r="47" spans="7:21" ht="16.5" thickBot="1" x14ac:dyDescent="0.25">
      <c r="R47" s="3" t="s">
        <v>37</v>
      </c>
      <c r="S47" s="4">
        <v>1</v>
      </c>
      <c r="T47" s="4" t="s">
        <v>14</v>
      </c>
      <c r="U47" s="4"/>
    </row>
    <row r="48" spans="7:21" ht="16.5" thickBot="1" x14ac:dyDescent="0.25">
      <c r="R48" s="3"/>
      <c r="S48" s="6">
        <f>SUM(S42:S47)</f>
        <v>48</v>
      </c>
      <c r="T48" s="4"/>
      <c r="U48" s="4"/>
    </row>
    <row r="49" spans="18:21" ht="16.5" thickBot="1" x14ac:dyDescent="0.25">
      <c r="R49" s="3" t="s">
        <v>5</v>
      </c>
      <c r="S49" s="4">
        <v>10</v>
      </c>
      <c r="T49" s="4"/>
      <c r="U49" s="4"/>
    </row>
    <row r="50" spans="18:21" ht="16.5" thickBot="1" x14ac:dyDescent="0.25">
      <c r="R50" s="3" t="s">
        <v>38</v>
      </c>
      <c r="S50" s="4">
        <v>17</v>
      </c>
      <c r="T50" s="4"/>
      <c r="U50" s="4"/>
    </row>
    <row r="51" spans="18:21" ht="16.5" thickBot="1" x14ac:dyDescent="0.25">
      <c r="R51" s="3" t="s">
        <v>39</v>
      </c>
      <c r="S51" s="4">
        <v>1</v>
      </c>
      <c r="T51" s="4"/>
      <c r="U51" s="4"/>
    </row>
    <row r="52" spans="18:21" ht="16.5" thickBot="1" x14ac:dyDescent="0.25">
      <c r="R52" s="3" t="s">
        <v>40</v>
      </c>
      <c r="S52" s="4">
        <v>2</v>
      </c>
      <c r="T52" s="4"/>
      <c r="U52" s="4"/>
    </row>
    <row r="53" spans="18:21" ht="32.25" thickBot="1" x14ac:dyDescent="0.25">
      <c r="R53" s="3" t="s">
        <v>41</v>
      </c>
      <c r="S53" s="4">
        <v>1</v>
      </c>
      <c r="T53" s="4"/>
      <c r="U53" s="4"/>
    </row>
    <row r="54" spans="18:21" ht="16.5" thickBot="1" x14ac:dyDescent="0.25">
      <c r="R54" s="3" t="s">
        <v>42</v>
      </c>
      <c r="S54" s="4">
        <v>1</v>
      </c>
      <c r="T54" s="4"/>
      <c r="U54" s="4"/>
    </row>
    <row r="55" spans="18:21" ht="16.5" thickBot="1" x14ac:dyDescent="0.25">
      <c r="R55" s="3"/>
      <c r="S55" s="6">
        <f>SUM(S49:S54)</f>
        <v>32</v>
      </c>
      <c r="T55" s="4"/>
      <c r="U55" s="4"/>
    </row>
    <row r="56" spans="18:21" ht="16.5" thickBot="1" x14ac:dyDescent="0.25">
      <c r="R56" s="3" t="s">
        <v>43</v>
      </c>
      <c r="S56" s="4">
        <v>4</v>
      </c>
      <c r="T56" s="4" t="s">
        <v>14</v>
      </c>
      <c r="U56" s="4"/>
    </row>
    <row r="57" spans="18:21" ht="16.5" thickBot="1" x14ac:dyDescent="0.25">
      <c r="R57" s="3" t="s">
        <v>44</v>
      </c>
      <c r="S57" s="4">
        <v>5</v>
      </c>
      <c r="T57" s="4" t="s">
        <v>14</v>
      </c>
      <c r="U57" s="4"/>
    </row>
    <row r="58" spans="18:21" ht="16.5" thickBot="1" x14ac:dyDescent="0.25">
      <c r="R58" s="3" t="s">
        <v>45</v>
      </c>
      <c r="S58" s="4">
        <v>3</v>
      </c>
      <c r="T58" s="4" t="s">
        <v>14</v>
      </c>
      <c r="U58" s="4"/>
    </row>
    <row r="59" spans="18:21" ht="16.5" thickBot="1" x14ac:dyDescent="0.25">
      <c r="R59" s="3" t="s">
        <v>46</v>
      </c>
      <c r="S59" s="4">
        <v>2</v>
      </c>
      <c r="T59" s="4" t="s">
        <v>14</v>
      </c>
      <c r="U59" s="4"/>
    </row>
    <row r="60" spans="18:21" ht="16.5" thickBot="1" x14ac:dyDescent="0.25">
      <c r="R60" s="3"/>
      <c r="S60" s="4"/>
      <c r="T60" s="4"/>
      <c r="U60" s="4"/>
    </row>
    <row r="61" spans="18:21" ht="16.5" thickBot="1" x14ac:dyDescent="0.25">
      <c r="R61" s="3" t="s">
        <v>47</v>
      </c>
      <c r="S61" s="8">
        <v>1</v>
      </c>
      <c r="T61" s="4"/>
      <c r="U61" s="4"/>
    </row>
    <row r="62" spans="18:21" ht="16.5" thickBot="1" x14ac:dyDescent="0.25">
      <c r="R62" s="3" t="s">
        <v>48</v>
      </c>
      <c r="S62" s="8">
        <v>2</v>
      </c>
      <c r="T62" s="4"/>
      <c r="U62" s="4"/>
    </row>
    <row r="63" spans="18:21" ht="32.25" thickBot="1" x14ac:dyDescent="0.25">
      <c r="R63" s="3" t="s">
        <v>49</v>
      </c>
      <c r="S63" s="8">
        <v>1</v>
      </c>
      <c r="T63" s="4"/>
      <c r="U63" s="4"/>
    </row>
    <row r="64" spans="18:21" ht="16.5" thickBot="1" x14ac:dyDescent="0.25">
      <c r="R64" s="3" t="s">
        <v>50</v>
      </c>
      <c r="S64" s="8">
        <v>6</v>
      </c>
      <c r="T64" s="4"/>
      <c r="U64" s="4"/>
    </row>
    <row r="65" spans="18:21" ht="16.5" thickBot="1" x14ac:dyDescent="0.25">
      <c r="R65" s="3"/>
      <c r="S65" s="6">
        <f>SUM(S61:S64)</f>
        <v>10</v>
      </c>
      <c r="T65" s="4"/>
      <c r="U65" s="4"/>
    </row>
    <row r="66" spans="18:21" ht="32.25" thickBot="1" x14ac:dyDescent="0.25">
      <c r="R66" s="3" t="s">
        <v>51</v>
      </c>
      <c r="S66" s="4">
        <v>1</v>
      </c>
      <c r="T66" s="4" t="s">
        <v>14</v>
      </c>
      <c r="U66" s="4"/>
    </row>
    <row r="67" spans="18:21" ht="32.25" thickBot="1" x14ac:dyDescent="0.25">
      <c r="R67" s="3" t="s">
        <v>52</v>
      </c>
      <c r="S67" s="4">
        <v>1</v>
      </c>
      <c r="T67" s="4" t="s">
        <v>14</v>
      </c>
      <c r="U67" s="4"/>
    </row>
    <row r="68" spans="18:21" ht="16.5" thickBot="1" x14ac:dyDescent="0.25">
      <c r="R68" s="3" t="s">
        <v>53</v>
      </c>
      <c r="S68" s="4">
        <v>2</v>
      </c>
      <c r="T68" s="4" t="s">
        <v>14</v>
      </c>
      <c r="U68" s="4"/>
    </row>
    <row r="69" spans="18:21" ht="16.5" thickBot="1" x14ac:dyDescent="0.25">
      <c r="R69" s="3" t="s">
        <v>54</v>
      </c>
      <c r="S69" s="4">
        <v>2</v>
      </c>
      <c r="T69" s="4" t="s">
        <v>14</v>
      </c>
      <c r="U69" s="4"/>
    </row>
    <row r="70" spans="18:21" ht="16.5" thickBot="1" x14ac:dyDescent="0.25">
      <c r="R70" s="3"/>
      <c r="S70" s="6">
        <f>SUM(S66:S69)</f>
        <v>6</v>
      </c>
      <c r="T70" s="4"/>
      <c r="U70" s="4"/>
    </row>
    <row r="71" spans="18:21" ht="16.5" thickBot="1" x14ac:dyDescent="0.25">
      <c r="R71" s="3" t="s">
        <v>55</v>
      </c>
      <c r="S71" s="4">
        <v>7</v>
      </c>
      <c r="T71" s="4"/>
      <c r="U71" s="4"/>
    </row>
    <row r="72" spans="18:21" ht="16.5" thickBot="1" x14ac:dyDescent="0.25">
      <c r="R72" s="3" t="s">
        <v>56</v>
      </c>
      <c r="S72" s="4">
        <v>1</v>
      </c>
      <c r="T72" s="4"/>
      <c r="U72" s="4"/>
    </row>
    <row r="73" spans="18:21" ht="16.5" thickBot="1" x14ac:dyDescent="0.25">
      <c r="R73" s="3" t="s">
        <v>57</v>
      </c>
      <c r="S73" s="4">
        <v>2</v>
      </c>
      <c r="T73" s="4"/>
      <c r="U73" s="4"/>
    </row>
    <row r="74" spans="18:21" ht="16.5" thickBot="1" x14ac:dyDescent="0.25">
      <c r="R74" s="3" t="s">
        <v>58</v>
      </c>
      <c r="S74" s="4">
        <v>3</v>
      </c>
      <c r="T74" s="4"/>
      <c r="U74" s="4"/>
    </row>
    <row r="75" spans="18:21" ht="16.5" thickBot="1" x14ac:dyDescent="0.25">
      <c r="R75" s="3"/>
      <c r="S75" s="6">
        <f>SUM(S71:S74)</f>
        <v>13</v>
      </c>
      <c r="T75" s="4"/>
      <c r="U75" s="4"/>
    </row>
    <row r="76" spans="18:21" ht="16.5" thickBot="1" x14ac:dyDescent="0.25">
      <c r="R76" s="3" t="s">
        <v>59</v>
      </c>
      <c r="S76" s="4">
        <v>6</v>
      </c>
      <c r="T76" s="4" t="s">
        <v>14</v>
      </c>
      <c r="U76" s="4"/>
    </row>
    <row r="77" spans="18:21" ht="16.5" thickBot="1" x14ac:dyDescent="0.25">
      <c r="R77" s="3" t="s">
        <v>60</v>
      </c>
      <c r="S77" s="4">
        <v>2</v>
      </c>
      <c r="T77" s="4" t="s">
        <v>14</v>
      </c>
      <c r="U77" s="4"/>
    </row>
    <row r="78" spans="18:21" ht="16.5" thickBot="1" x14ac:dyDescent="0.25">
      <c r="R78" s="3"/>
      <c r="S78" s="6">
        <f>SUM(S76:S77)</f>
        <v>8</v>
      </c>
      <c r="T78" s="4"/>
      <c r="U78" s="4"/>
    </row>
    <row r="79" spans="18:21" ht="16.5" thickBot="1" x14ac:dyDescent="0.25">
      <c r="R79" s="3" t="s">
        <v>61</v>
      </c>
      <c r="S79" s="4">
        <v>1</v>
      </c>
      <c r="T79" s="4"/>
      <c r="U79" s="4"/>
    </row>
    <row r="80" spans="18:21" ht="16.5" thickBot="1" x14ac:dyDescent="0.25">
      <c r="R80" s="3" t="s">
        <v>62</v>
      </c>
      <c r="S80" s="4">
        <v>3</v>
      </c>
      <c r="T80" s="4"/>
      <c r="U80" s="4"/>
    </row>
    <row r="81" spans="18:21" ht="16.5" thickBot="1" x14ac:dyDescent="0.25">
      <c r="R81" s="3"/>
      <c r="S81" s="6">
        <f>SUM(S79:S80)</f>
        <v>4</v>
      </c>
      <c r="T81" s="4"/>
      <c r="U81" s="4"/>
    </row>
    <row r="82" spans="18:21" ht="16.5" thickBot="1" x14ac:dyDescent="0.25">
      <c r="R82" s="3" t="s">
        <v>63</v>
      </c>
      <c r="S82" s="4">
        <v>3</v>
      </c>
      <c r="T82" s="4" t="s">
        <v>14</v>
      </c>
      <c r="U82" s="4"/>
    </row>
    <row r="83" spans="18:21" ht="16.5" thickBot="1" x14ac:dyDescent="0.25">
      <c r="R83" s="3"/>
      <c r="S83" s="4">
        <v>3</v>
      </c>
      <c r="T83" s="4"/>
      <c r="U83" s="4"/>
    </row>
    <row r="84" spans="18:21" ht="16.5" thickBot="1" x14ac:dyDescent="0.25">
      <c r="R84" s="3" t="s">
        <v>64</v>
      </c>
      <c r="S84" s="4">
        <v>11</v>
      </c>
      <c r="T84" s="4"/>
      <c r="U84" s="4"/>
    </row>
    <row r="85" spans="18:21" ht="16.5" thickBot="1" x14ac:dyDescent="0.25">
      <c r="R85" s="3" t="s">
        <v>65</v>
      </c>
      <c r="S85" s="4">
        <v>3</v>
      </c>
      <c r="T85" s="4"/>
      <c r="U85" s="4"/>
    </row>
    <row r="86" spans="18:21" ht="32.25" thickBot="1" x14ac:dyDescent="0.25">
      <c r="R86" s="3" t="s">
        <v>66</v>
      </c>
      <c r="S86" s="4">
        <v>6</v>
      </c>
      <c r="T86" s="4" t="s">
        <v>14</v>
      </c>
      <c r="U86" s="4"/>
    </row>
    <row r="87" spans="18:21" ht="32.25" thickBot="1" x14ac:dyDescent="0.25">
      <c r="R87" s="3" t="s">
        <v>67</v>
      </c>
      <c r="S87" s="4">
        <v>4</v>
      </c>
      <c r="T87" s="4"/>
      <c r="U87" s="4"/>
    </row>
    <row r="88" spans="18:21" ht="32.25" thickBot="1" x14ac:dyDescent="0.25">
      <c r="R88" s="3" t="s">
        <v>68</v>
      </c>
      <c r="S88" s="4">
        <v>3</v>
      </c>
      <c r="T88" s="4" t="s">
        <v>69</v>
      </c>
      <c r="U88" s="4"/>
    </row>
    <row r="89" spans="18:21" ht="16.5" thickBot="1" x14ac:dyDescent="0.25">
      <c r="R89" s="3" t="s">
        <v>70</v>
      </c>
      <c r="S89" s="4">
        <v>2</v>
      </c>
      <c r="T89" s="4"/>
      <c r="U89" s="4"/>
    </row>
    <row r="90" spans="18:21" ht="16.5" thickBot="1" x14ac:dyDescent="0.25">
      <c r="R90" s="3"/>
      <c r="S90" s="6">
        <f>SUM(S84:S89)</f>
        <v>29</v>
      </c>
      <c r="T90" s="4"/>
      <c r="U90" s="4"/>
    </row>
    <row r="91" spans="18:21" ht="16.5" thickBot="1" x14ac:dyDescent="0.25">
      <c r="R91" s="3" t="s">
        <v>71</v>
      </c>
      <c r="S91" s="4">
        <v>2</v>
      </c>
      <c r="T91" s="4"/>
      <c r="U91" s="4"/>
    </row>
    <row r="92" spans="18:21" ht="15.75" x14ac:dyDescent="0.2">
      <c r="R92" s="7"/>
      <c r="S92" s="7">
        <v>2</v>
      </c>
      <c r="T92" s="7"/>
      <c r="U9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2025-11-01T14:21:39Z</dcterms:created>
  <dcterms:modified xsi:type="dcterms:W3CDTF">2025-11-02T10:08:43Z</dcterms:modified>
</cp:coreProperties>
</file>