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666" documentId="8_{C2F00DDC-C99B-4155-9032-AF0A5E45E5F3}" xr6:coauthVersionLast="47" xr6:coauthVersionMax="47" xr10:uidLastSave="{0F770521-FDE9-457C-8527-E79C5AE895C5}"/>
  <bookViews>
    <workbookView xWindow="-120" yWindow="-120" windowWidth="29040" windowHeight="15720" xr2:uid="{F8B5A8BD-EE6A-A545-BB05-4847B8DC2C5C}"/>
  </bookViews>
  <sheets>
    <sheet name="زيوت المحركات " sheetId="1" r:id="rId1"/>
    <sheet name="ورقة1" sheetId="2" r:id="rId2"/>
  </sheets>
  <definedNames>
    <definedName name="_xlnm.Print_Area" localSheetId="0">'زيوت المحركات '!$W$1:$AG$18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O9" i="1"/>
  <c r="D149" i="1"/>
  <c r="Y148" i="1"/>
  <c r="X148" i="1" s="1"/>
  <c r="V148" i="1" s="1"/>
  <c r="Y147" i="1"/>
  <c r="X147" i="1" s="1"/>
  <c r="V147" i="1" s="1"/>
  <c r="Y146" i="1"/>
  <c r="X146" i="1" s="1"/>
  <c r="V146" i="1" s="1"/>
  <c r="P148" i="1"/>
  <c r="O148" i="1" s="1"/>
  <c r="M148" i="1" s="1"/>
  <c r="G148" i="1"/>
  <c r="F148" i="1" s="1"/>
  <c r="D148" i="1" s="1"/>
  <c r="P147" i="1"/>
  <c r="O147" i="1" s="1"/>
  <c r="M147" i="1" s="1"/>
  <c r="G147" i="1"/>
  <c r="F147" i="1" s="1"/>
  <c r="D147" i="1" s="1"/>
  <c r="P146" i="1"/>
  <c r="O146" i="1" s="1"/>
  <c r="M146" i="1" s="1"/>
  <c r="G146" i="1"/>
  <c r="F146" i="1" s="1"/>
  <c r="D146" i="1" s="1"/>
  <c r="Y135" i="1"/>
  <c r="X135" i="1" s="1"/>
  <c r="V135" i="1" s="1"/>
  <c r="P135" i="1"/>
  <c r="O135" i="1"/>
  <c r="M135" i="1" s="1"/>
  <c r="G135" i="1"/>
  <c r="F135" i="1" s="1"/>
  <c r="D135" i="1" s="1"/>
  <c r="Y134" i="1"/>
  <c r="X134" i="1" s="1"/>
  <c r="V134" i="1" s="1"/>
  <c r="P134" i="1"/>
  <c r="O134" i="1" s="1"/>
  <c r="M134" i="1" s="1"/>
  <c r="G134" i="1"/>
  <c r="F134" i="1" s="1"/>
  <c r="D134" i="1" s="1"/>
  <c r="Y133" i="1"/>
  <c r="X133" i="1" s="1"/>
  <c r="V133" i="1" s="1"/>
  <c r="P133" i="1"/>
  <c r="O133" i="1" s="1"/>
  <c r="M133" i="1" s="1"/>
  <c r="G133" i="1"/>
  <c r="F133" i="1" s="1"/>
  <c r="D133" i="1" s="1"/>
  <c r="Y132" i="1"/>
  <c r="X132" i="1" s="1"/>
  <c r="V132" i="1" s="1"/>
  <c r="P132" i="1"/>
  <c r="O132" i="1" s="1"/>
  <c r="M132" i="1" s="1"/>
  <c r="G132" i="1"/>
  <c r="F132" i="1"/>
  <c r="D132" i="1" s="1"/>
  <c r="G120" i="1"/>
  <c r="F120" i="1" s="1"/>
  <c r="D120" i="1" s="1"/>
  <c r="G119" i="1"/>
  <c r="F119" i="1" s="1"/>
  <c r="D119" i="1" s="1"/>
  <c r="G118" i="1"/>
  <c r="F118" i="1" s="1"/>
  <c r="D118" i="1" s="1"/>
  <c r="G117" i="1"/>
  <c r="F117" i="1"/>
  <c r="D117" i="1" s="1"/>
  <c r="G116" i="1"/>
  <c r="F116" i="1" s="1"/>
  <c r="D116" i="1" s="1"/>
  <c r="G115" i="1"/>
  <c r="F115" i="1" s="1"/>
  <c r="D115" i="1" s="1"/>
  <c r="G114" i="1"/>
  <c r="F114" i="1" s="1"/>
  <c r="D114" i="1" s="1"/>
  <c r="G113" i="1"/>
  <c r="F113" i="1"/>
  <c r="D113" i="1" s="1"/>
  <c r="G112" i="1"/>
  <c r="F112" i="1" s="1"/>
  <c r="D112" i="1" s="1"/>
  <c r="G111" i="1"/>
  <c r="F111" i="1"/>
  <c r="D111" i="1" s="1"/>
  <c r="G110" i="1"/>
  <c r="F110" i="1"/>
  <c r="D110" i="1"/>
  <c r="G109" i="1"/>
  <c r="F109" i="1"/>
  <c r="D109" i="1" s="1"/>
  <c r="G108" i="1"/>
  <c r="F108" i="1" s="1"/>
  <c r="D108" i="1" s="1"/>
  <c r="G107" i="1"/>
  <c r="F107" i="1"/>
  <c r="D107" i="1" s="1"/>
  <c r="G106" i="1"/>
  <c r="F106" i="1"/>
  <c r="D106" i="1"/>
  <c r="G105" i="1"/>
  <c r="F105" i="1"/>
  <c r="D105" i="1" s="1"/>
  <c r="G104" i="1"/>
  <c r="F104" i="1" s="1"/>
  <c r="D104" i="1" s="1"/>
  <c r="G103" i="1"/>
  <c r="F103" i="1" s="1"/>
  <c r="D103" i="1" s="1"/>
  <c r="C103" i="1" s="1"/>
  <c r="G102" i="1"/>
  <c r="F102" i="1" s="1"/>
  <c r="D102" i="1" s="1"/>
  <c r="G101" i="1"/>
  <c r="F101" i="1"/>
  <c r="D101" i="1"/>
  <c r="G100" i="1"/>
  <c r="F100" i="1" s="1"/>
  <c r="D100" i="1" s="1"/>
  <c r="G99" i="1"/>
  <c r="F99" i="1"/>
  <c r="D99" i="1" s="1"/>
  <c r="G98" i="1"/>
  <c r="F98" i="1" s="1"/>
  <c r="D98" i="1" s="1"/>
  <c r="G97" i="1"/>
  <c r="F97" i="1" s="1"/>
  <c r="D97" i="1" s="1"/>
  <c r="C97" i="1" s="1"/>
  <c r="G96" i="1"/>
  <c r="F96" i="1" s="1"/>
  <c r="D96" i="1" s="1"/>
  <c r="G95" i="1"/>
  <c r="F95" i="1" s="1"/>
  <c r="D95" i="1" s="1"/>
  <c r="G94" i="1"/>
  <c r="F94" i="1" s="1"/>
  <c r="D94" i="1" s="1"/>
  <c r="G93" i="1"/>
  <c r="F93" i="1"/>
  <c r="D93" i="1"/>
  <c r="G92" i="1"/>
  <c r="F92" i="1" s="1"/>
  <c r="D92" i="1" s="1"/>
  <c r="G91" i="1"/>
  <c r="F91" i="1"/>
  <c r="D91" i="1"/>
  <c r="G90" i="1"/>
  <c r="F90" i="1" s="1"/>
  <c r="D90" i="1" s="1"/>
  <c r="G89" i="1"/>
  <c r="F89" i="1" s="1"/>
  <c r="D89" i="1" s="1"/>
  <c r="G88" i="1"/>
  <c r="F88" i="1" s="1"/>
  <c r="D88" i="1" s="1"/>
  <c r="G87" i="1"/>
  <c r="F87" i="1"/>
  <c r="D87" i="1"/>
  <c r="G86" i="1"/>
  <c r="F86" i="1"/>
  <c r="D86" i="1"/>
  <c r="G85" i="1"/>
  <c r="F85" i="1"/>
  <c r="D85" i="1" s="1"/>
  <c r="G84" i="1"/>
  <c r="F84" i="1" s="1"/>
  <c r="D84" i="1" s="1"/>
  <c r="G83" i="1"/>
  <c r="F83" i="1" s="1"/>
  <c r="D83" i="1" s="1"/>
  <c r="G82" i="1"/>
  <c r="F82" i="1"/>
  <c r="D82" i="1" s="1"/>
  <c r="G81" i="1"/>
  <c r="F81" i="1"/>
  <c r="D81" i="1" s="1"/>
  <c r="G80" i="1"/>
  <c r="F80" i="1" s="1"/>
  <c r="D80" i="1" s="1"/>
  <c r="C80" i="1" s="1"/>
  <c r="G79" i="1"/>
  <c r="F79" i="1"/>
  <c r="D79" i="1" s="1"/>
  <c r="C79" i="1" s="1"/>
  <c r="G78" i="1"/>
  <c r="F78" i="1"/>
  <c r="D78" i="1" s="1"/>
  <c r="G77" i="1"/>
  <c r="F77" i="1" s="1"/>
  <c r="D77" i="1" s="1"/>
  <c r="G76" i="1"/>
  <c r="F76" i="1" s="1"/>
  <c r="D76" i="1" s="1"/>
  <c r="G75" i="1"/>
  <c r="F75" i="1"/>
  <c r="D75" i="1" s="1"/>
  <c r="G74" i="1"/>
  <c r="F74" i="1" s="1"/>
  <c r="D74" i="1" s="1"/>
  <c r="G73" i="1"/>
  <c r="F73" i="1"/>
  <c r="D73" i="1" s="1"/>
  <c r="G72" i="1"/>
  <c r="F72" i="1" s="1"/>
  <c r="D72" i="1" s="1"/>
  <c r="G71" i="1"/>
  <c r="F71" i="1" s="1"/>
  <c r="D71" i="1" s="1"/>
  <c r="G70" i="1"/>
  <c r="F70" i="1" s="1"/>
  <c r="D70" i="1" s="1"/>
  <c r="G69" i="1"/>
  <c r="F69" i="1"/>
  <c r="D69" i="1"/>
  <c r="G68" i="1"/>
  <c r="F68" i="1" s="1"/>
  <c r="D68" i="1" s="1"/>
  <c r="G67" i="1"/>
  <c r="F67" i="1"/>
  <c r="D67" i="1" s="1"/>
  <c r="C67" i="1" s="1"/>
  <c r="G66" i="1"/>
  <c r="F66" i="1" s="1"/>
  <c r="D66" i="1" s="1"/>
  <c r="G65" i="1"/>
  <c r="F65" i="1" s="1"/>
  <c r="D65" i="1" s="1"/>
  <c r="P120" i="1"/>
  <c r="O120" i="1" s="1"/>
  <c r="M120" i="1" s="1"/>
  <c r="P119" i="1"/>
  <c r="O119" i="1"/>
  <c r="M119" i="1" s="1"/>
  <c r="P118" i="1"/>
  <c r="O118" i="1"/>
  <c r="M118" i="1"/>
  <c r="P117" i="1"/>
  <c r="O117" i="1" s="1"/>
  <c r="M117" i="1" s="1"/>
  <c r="P116" i="1"/>
  <c r="O116" i="1"/>
  <c r="M116" i="1" s="1"/>
  <c r="P115" i="1"/>
  <c r="O115" i="1"/>
  <c r="M115" i="1" s="1"/>
  <c r="P114" i="1"/>
  <c r="O114" i="1" s="1"/>
  <c r="M114" i="1" s="1"/>
  <c r="P113" i="1"/>
  <c r="O113" i="1"/>
  <c r="M113" i="1" s="1"/>
  <c r="P112" i="1"/>
  <c r="O112" i="1" s="1"/>
  <c r="M112" i="1" s="1"/>
  <c r="C112" i="1" s="1"/>
  <c r="P111" i="1"/>
  <c r="O111" i="1" s="1"/>
  <c r="M111" i="1" s="1"/>
  <c r="P110" i="1"/>
  <c r="O110" i="1"/>
  <c r="M110" i="1" s="1"/>
  <c r="P109" i="1"/>
  <c r="O109" i="1" s="1"/>
  <c r="M109" i="1" s="1"/>
  <c r="P108" i="1"/>
  <c r="O108" i="1"/>
  <c r="M108" i="1" s="1"/>
  <c r="P107" i="1"/>
  <c r="O107" i="1"/>
  <c r="M107" i="1" s="1"/>
  <c r="P106" i="1"/>
  <c r="O106" i="1"/>
  <c r="M106" i="1"/>
  <c r="P105" i="1"/>
  <c r="O105" i="1" s="1"/>
  <c r="M105" i="1" s="1"/>
  <c r="P104" i="1"/>
  <c r="O104" i="1"/>
  <c r="M104" i="1" s="1"/>
  <c r="P103" i="1"/>
  <c r="O103" i="1" s="1"/>
  <c r="M103" i="1" s="1"/>
  <c r="P102" i="1"/>
  <c r="O102" i="1" s="1"/>
  <c r="M102" i="1" s="1"/>
  <c r="P101" i="1"/>
  <c r="O101" i="1"/>
  <c r="M101" i="1" s="1"/>
  <c r="P100" i="1"/>
  <c r="O100" i="1"/>
  <c r="M100" i="1" s="1"/>
  <c r="P99" i="1"/>
  <c r="O99" i="1"/>
  <c r="M99" i="1" s="1"/>
  <c r="P98" i="1"/>
  <c r="O98" i="1" s="1"/>
  <c r="M98" i="1" s="1"/>
  <c r="P97" i="1"/>
  <c r="O97" i="1" s="1"/>
  <c r="M97" i="1" s="1"/>
  <c r="P96" i="1"/>
  <c r="O96" i="1"/>
  <c r="M96" i="1" s="1"/>
  <c r="P95" i="1"/>
  <c r="O95" i="1" s="1"/>
  <c r="M95" i="1" s="1"/>
  <c r="P94" i="1"/>
  <c r="O94" i="1"/>
  <c r="M94" i="1" s="1"/>
  <c r="P93" i="1"/>
  <c r="O93" i="1" s="1"/>
  <c r="M93" i="1" s="1"/>
  <c r="P92" i="1"/>
  <c r="O92" i="1" s="1"/>
  <c r="M92" i="1" s="1"/>
  <c r="P91" i="1"/>
  <c r="O91" i="1" s="1"/>
  <c r="M91" i="1" s="1"/>
  <c r="P90" i="1"/>
  <c r="O90" i="1" s="1"/>
  <c r="M90" i="1" s="1"/>
  <c r="P89" i="1"/>
  <c r="O89" i="1" s="1"/>
  <c r="M89" i="1" s="1"/>
  <c r="P88" i="1"/>
  <c r="O88" i="1" s="1"/>
  <c r="M88" i="1" s="1"/>
  <c r="P87" i="1"/>
  <c r="O87" i="1" s="1"/>
  <c r="M87" i="1" s="1"/>
  <c r="P86" i="1"/>
  <c r="O86" i="1" s="1"/>
  <c r="M86" i="1" s="1"/>
  <c r="P85" i="1"/>
  <c r="O85" i="1" s="1"/>
  <c r="M85" i="1" s="1"/>
  <c r="P84" i="1"/>
  <c r="O84" i="1" s="1"/>
  <c r="M84" i="1" s="1"/>
  <c r="P83" i="1"/>
  <c r="O83" i="1" s="1"/>
  <c r="M83" i="1" s="1"/>
  <c r="P82" i="1"/>
  <c r="O82" i="1"/>
  <c r="M82" i="1" s="1"/>
  <c r="P81" i="1"/>
  <c r="O81" i="1"/>
  <c r="M81" i="1" s="1"/>
  <c r="P80" i="1"/>
  <c r="O80" i="1" s="1"/>
  <c r="M80" i="1" s="1"/>
  <c r="P79" i="1"/>
  <c r="O79" i="1" s="1"/>
  <c r="M79" i="1" s="1"/>
  <c r="P78" i="1"/>
  <c r="O78" i="1" s="1"/>
  <c r="M78" i="1" s="1"/>
  <c r="P77" i="1"/>
  <c r="O77" i="1"/>
  <c r="M77" i="1"/>
  <c r="P76" i="1"/>
  <c r="O76" i="1" s="1"/>
  <c r="M76" i="1" s="1"/>
  <c r="P75" i="1"/>
  <c r="O75" i="1" s="1"/>
  <c r="M75" i="1" s="1"/>
  <c r="P74" i="1"/>
  <c r="O74" i="1"/>
  <c r="M74" i="1" s="1"/>
  <c r="P73" i="1"/>
  <c r="O73" i="1" s="1"/>
  <c r="M73" i="1" s="1"/>
  <c r="P72" i="1"/>
  <c r="O72" i="1" s="1"/>
  <c r="M72" i="1" s="1"/>
  <c r="P71" i="1"/>
  <c r="O71" i="1" s="1"/>
  <c r="M71" i="1" s="1"/>
  <c r="P70" i="1"/>
  <c r="O70" i="1"/>
  <c r="M70" i="1" s="1"/>
  <c r="P69" i="1"/>
  <c r="O69" i="1" s="1"/>
  <c r="M69" i="1" s="1"/>
  <c r="P68" i="1"/>
  <c r="O68" i="1" s="1"/>
  <c r="M68" i="1" s="1"/>
  <c r="P67" i="1"/>
  <c r="O67" i="1"/>
  <c r="M67" i="1"/>
  <c r="P66" i="1"/>
  <c r="O66" i="1" s="1"/>
  <c r="M66" i="1" s="1"/>
  <c r="P65" i="1"/>
  <c r="O65" i="1" s="1"/>
  <c r="M65" i="1" s="1"/>
  <c r="Y66" i="1"/>
  <c r="X66" i="1" s="1"/>
  <c r="V66" i="1" s="1"/>
  <c r="Y67" i="1"/>
  <c r="Y68" i="1"/>
  <c r="Y69" i="1"/>
  <c r="X69" i="1" s="1"/>
  <c r="V69" i="1" s="1"/>
  <c r="Y70" i="1"/>
  <c r="X70" i="1" s="1"/>
  <c r="V70" i="1" s="1"/>
  <c r="Y71" i="1"/>
  <c r="X71" i="1" s="1"/>
  <c r="V71" i="1" s="1"/>
  <c r="Y72" i="1"/>
  <c r="X72" i="1" s="1"/>
  <c r="V72" i="1" s="1"/>
  <c r="Y73" i="1"/>
  <c r="X73" i="1" s="1"/>
  <c r="V73" i="1" s="1"/>
  <c r="Y74" i="1"/>
  <c r="X74" i="1" s="1"/>
  <c r="V74" i="1" s="1"/>
  <c r="Y75" i="1"/>
  <c r="X75" i="1" s="1"/>
  <c r="V75" i="1" s="1"/>
  <c r="Y76" i="1"/>
  <c r="X76" i="1" s="1"/>
  <c r="V76" i="1" s="1"/>
  <c r="Y77" i="1"/>
  <c r="X77" i="1" s="1"/>
  <c r="V77" i="1" s="1"/>
  <c r="Y78" i="1"/>
  <c r="X78" i="1" s="1"/>
  <c r="V78" i="1" s="1"/>
  <c r="Y79" i="1"/>
  <c r="X79" i="1" s="1"/>
  <c r="V79" i="1" s="1"/>
  <c r="Y80" i="1"/>
  <c r="X80" i="1" s="1"/>
  <c r="V80" i="1" s="1"/>
  <c r="Y81" i="1"/>
  <c r="X81" i="1" s="1"/>
  <c r="V81" i="1" s="1"/>
  <c r="Y82" i="1"/>
  <c r="X82" i="1" s="1"/>
  <c r="V82" i="1" s="1"/>
  <c r="Y83" i="1"/>
  <c r="X83" i="1" s="1"/>
  <c r="V83" i="1" s="1"/>
  <c r="Y84" i="1"/>
  <c r="X84" i="1" s="1"/>
  <c r="V84" i="1" s="1"/>
  <c r="Y85" i="1"/>
  <c r="X85" i="1" s="1"/>
  <c r="V85" i="1" s="1"/>
  <c r="Y86" i="1"/>
  <c r="X86" i="1" s="1"/>
  <c r="V86" i="1" s="1"/>
  <c r="Y87" i="1"/>
  <c r="X87" i="1" s="1"/>
  <c r="V87" i="1" s="1"/>
  <c r="Y88" i="1"/>
  <c r="X88" i="1" s="1"/>
  <c r="V88" i="1" s="1"/>
  <c r="Y89" i="1"/>
  <c r="X89" i="1" s="1"/>
  <c r="V89" i="1" s="1"/>
  <c r="Y90" i="1"/>
  <c r="X90" i="1" s="1"/>
  <c r="V90" i="1" s="1"/>
  <c r="Y91" i="1"/>
  <c r="X91" i="1" s="1"/>
  <c r="V91" i="1" s="1"/>
  <c r="Y92" i="1"/>
  <c r="X92" i="1" s="1"/>
  <c r="V92" i="1" s="1"/>
  <c r="Y93" i="1"/>
  <c r="X93" i="1" s="1"/>
  <c r="V93" i="1" s="1"/>
  <c r="Y94" i="1"/>
  <c r="X94" i="1" s="1"/>
  <c r="V94" i="1" s="1"/>
  <c r="Y95" i="1"/>
  <c r="X95" i="1" s="1"/>
  <c r="V95" i="1" s="1"/>
  <c r="Y96" i="1"/>
  <c r="X96" i="1" s="1"/>
  <c r="V96" i="1" s="1"/>
  <c r="Y97" i="1"/>
  <c r="X97" i="1" s="1"/>
  <c r="V97" i="1" s="1"/>
  <c r="Y98" i="1"/>
  <c r="X98" i="1" s="1"/>
  <c r="V98" i="1" s="1"/>
  <c r="Y99" i="1"/>
  <c r="X99" i="1" s="1"/>
  <c r="V99" i="1" s="1"/>
  <c r="Y100" i="1"/>
  <c r="X100" i="1" s="1"/>
  <c r="V100" i="1" s="1"/>
  <c r="Y101" i="1"/>
  <c r="X101" i="1" s="1"/>
  <c r="V101" i="1" s="1"/>
  <c r="Y102" i="1"/>
  <c r="X102" i="1" s="1"/>
  <c r="V102" i="1" s="1"/>
  <c r="Y103" i="1"/>
  <c r="Y104" i="1"/>
  <c r="Y105" i="1"/>
  <c r="X105" i="1" s="1"/>
  <c r="V105" i="1" s="1"/>
  <c r="Y106" i="1"/>
  <c r="X106" i="1" s="1"/>
  <c r="V106" i="1" s="1"/>
  <c r="Y107" i="1"/>
  <c r="X107" i="1" s="1"/>
  <c r="V107" i="1" s="1"/>
  <c r="Y108" i="1"/>
  <c r="X108" i="1" s="1"/>
  <c r="V108" i="1" s="1"/>
  <c r="Y109" i="1"/>
  <c r="X109" i="1" s="1"/>
  <c r="V109" i="1" s="1"/>
  <c r="Y110" i="1"/>
  <c r="X110" i="1" s="1"/>
  <c r="V110" i="1" s="1"/>
  <c r="Y111" i="1"/>
  <c r="X111" i="1" s="1"/>
  <c r="V111" i="1" s="1"/>
  <c r="Y112" i="1"/>
  <c r="X112" i="1" s="1"/>
  <c r="V112" i="1" s="1"/>
  <c r="Y113" i="1"/>
  <c r="X113" i="1" s="1"/>
  <c r="V113" i="1" s="1"/>
  <c r="Y114" i="1"/>
  <c r="X114" i="1" s="1"/>
  <c r="V114" i="1" s="1"/>
  <c r="Y115" i="1"/>
  <c r="X115" i="1" s="1"/>
  <c r="V115" i="1" s="1"/>
  <c r="Y116" i="1"/>
  <c r="Y117" i="1"/>
  <c r="X117" i="1" s="1"/>
  <c r="V117" i="1" s="1"/>
  <c r="Y118" i="1"/>
  <c r="X118" i="1" s="1"/>
  <c r="V118" i="1" s="1"/>
  <c r="Y119" i="1"/>
  <c r="X119" i="1" s="1"/>
  <c r="V119" i="1" s="1"/>
  <c r="Y120" i="1"/>
  <c r="X120" i="1" s="1"/>
  <c r="V120" i="1" s="1"/>
  <c r="X67" i="1"/>
  <c r="V67" i="1" s="1"/>
  <c r="X68" i="1"/>
  <c r="V68" i="1" s="1"/>
  <c r="X103" i="1"/>
  <c r="V103" i="1" s="1"/>
  <c r="X104" i="1"/>
  <c r="V104" i="1" s="1"/>
  <c r="X116" i="1"/>
  <c r="V116" i="1" s="1"/>
  <c r="Y65" i="1"/>
  <c r="X65" i="1" s="1"/>
  <c r="V65" i="1" s="1"/>
  <c r="Y41" i="1"/>
  <c r="X41" i="1" s="1"/>
  <c r="V41" i="1" s="1"/>
  <c r="G42" i="1"/>
  <c r="F42" i="1" s="1"/>
  <c r="D42" i="1" s="1"/>
  <c r="G43" i="1"/>
  <c r="F43" i="1" s="1"/>
  <c r="D43" i="1" s="1"/>
  <c r="G44" i="1"/>
  <c r="F44" i="1" s="1"/>
  <c r="D44" i="1" s="1"/>
  <c r="G45" i="1"/>
  <c r="F45" i="1" s="1"/>
  <c r="D45" i="1" s="1"/>
  <c r="G46" i="1"/>
  <c r="F46" i="1" s="1"/>
  <c r="D46" i="1" s="1"/>
  <c r="G47" i="1"/>
  <c r="F47" i="1" s="1"/>
  <c r="D47" i="1" s="1"/>
  <c r="G48" i="1"/>
  <c r="F48" i="1" s="1"/>
  <c r="D48" i="1" s="1"/>
  <c r="G49" i="1"/>
  <c r="F49" i="1" s="1"/>
  <c r="D49" i="1" s="1"/>
  <c r="G50" i="1"/>
  <c r="F50" i="1" s="1"/>
  <c r="D50" i="1" s="1"/>
  <c r="G51" i="1"/>
  <c r="F51" i="1" s="1"/>
  <c r="D51" i="1" s="1"/>
  <c r="G52" i="1"/>
  <c r="F52" i="1" s="1"/>
  <c r="D52" i="1" s="1"/>
  <c r="G53" i="1"/>
  <c r="F53" i="1" s="1"/>
  <c r="D53" i="1" s="1"/>
  <c r="G54" i="1"/>
  <c r="F54" i="1" s="1"/>
  <c r="D54" i="1" s="1"/>
  <c r="G41" i="1"/>
  <c r="F41" i="1" s="1"/>
  <c r="D41" i="1" s="1"/>
  <c r="P41" i="1"/>
  <c r="O41" i="1" s="1"/>
  <c r="M41" i="1" s="1"/>
  <c r="Y54" i="1"/>
  <c r="X54" i="1" s="1"/>
  <c r="V54" i="1" s="1"/>
  <c r="P54" i="1"/>
  <c r="O54" i="1" s="1"/>
  <c r="M54" i="1" s="1"/>
  <c r="Y53" i="1"/>
  <c r="X53" i="1" s="1"/>
  <c r="V53" i="1" s="1"/>
  <c r="P53" i="1"/>
  <c r="O53" i="1" s="1"/>
  <c r="M53" i="1" s="1"/>
  <c r="Y52" i="1"/>
  <c r="X52" i="1" s="1"/>
  <c r="V52" i="1" s="1"/>
  <c r="P52" i="1"/>
  <c r="O52" i="1" s="1"/>
  <c r="M52" i="1" s="1"/>
  <c r="Y51" i="1"/>
  <c r="X51" i="1" s="1"/>
  <c r="V51" i="1" s="1"/>
  <c r="P51" i="1"/>
  <c r="O51" i="1" s="1"/>
  <c r="M51" i="1" s="1"/>
  <c r="Y50" i="1"/>
  <c r="X50" i="1" s="1"/>
  <c r="V50" i="1" s="1"/>
  <c r="P50" i="1"/>
  <c r="O50" i="1" s="1"/>
  <c r="M50" i="1" s="1"/>
  <c r="Y49" i="1"/>
  <c r="X49" i="1" s="1"/>
  <c r="V49" i="1" s="1"/>
  <c r="P49" i="1"/>
  <c r="O49" i="1" s="1"/>
  <c r="M49" i="1" s="1"/>
  <c r="Y48" i="1"/>
  <c r="X48" i="1" s="1"/>
  <c r="V48" i="1" s="1"/>
  <c r="P48" i="1"/>
  <c r="O48" i="1" s="1"/>
  <c r="M48" i="1" s="1"/>
  <c r="Y47" i="1"/>
  <c r="X47" i="1" s="1"/>
  <c r="V47" i="1" s="1"/>
  <c r="P47" i="1"/>
  <c r="O47" i="1" s="1"/>
  <c r="M47" i="1" s="1"/>
  <c r="Y46" i="1"/>
  <c r="X46" i="1" s="1"/>
  <c r="V46" i="1" s="1"/>
  <c r="P46" i="1"/>
  <c r="O46" i="1"/>
  <c r="M46" i="1" s="1"/>
  <c r="Y45" i="1"/>
  <c r="X45" i="1" s="1"/>
  <c r="V45" i="1" s="1"/>
  <c r="P45" i="1"/>
  <c r="O45" i="1"/>
  <c r="M45" i="1" s="1"/>
  <c r="Y44" i="1"/>
  <c r="X44" i="1" s="1"/>
  <c r="V44" i="1" s="1"/>
  <c r="P44" i="1"/>
  <c r="O44" i="1" s="1"/>
  <c r="M44" i="1" s="1"/>
  <c r="Y43" i="1"/>
  <c r="X43" i="1" s="1"/>
  <c r="V43" i="1" s="1"/>
  <c r="P43" i="1"/>
  <c r="O43" i="1" s="1"/>
  <c r="M43" i="1" s="1"/>
  <c r="Y42" i="1"/>
  <c r="X42" i="1" s="1"/>
  <c r="V42" i="1" s="1"/>
  <c r="P42" i="1"/>
  <c r="O42" i="1" s="1"/>
  <c r="M42" i="1" s="1"/>
  <c r="P7" i="1"/>
  <c r="O7" i="1" s="1"/>
  <c r="M7" i="1" s="1"/>
  <c r="Y7" i="1"/>
  <c r="X7" i="1" s="1"/>
  <c r="V7" i="1" s="1"/>
  <c r="P8" i="1"/>
  <c r="O8" i="1" s="1"/>
  <c r="M8" i="1" s="1"/>
  <c r="Y8" i="1"/>
  <c r="X8" i="1" s="1"/>
  <c r="V8" i="1" s="1"/>
  <c r="P9" i="1"/>
  <c r="Y9" i="1"/>
  <c r="X9" i="1" s="1"/>
  <c r="V9" i="1" s="1"/>
  <c r="P10" i="1"/>
  <c r="O10" i="1" s="1"/>
  <c r="M10" i="1" s="1"/>
  <c r="Y10" i="1"/>
  <c r="X10" i="1" s="1"/>
  <c r="V10" i="1" s="1"/>
  <c r="P11" i="1"/>
  <c r="O11" i="1" s="1"/>
  <c r="M11" i="1" s="1"/>
  <c r="Y11" i="1"/>
  <c r="X11" i="1" s="1"/>
  <c r="V11" i="1" s="1"/>
  <c r="P12" i="1"/>
  <c r="O12" i="1" s="1"/>
  <c r="M12" i="1" s="1"/>
  <c r="Y12" i="1"/>
  <c r="X12" i="1" s="1"/>
  <c r="V12" i="1" s="1"/>
  <c r="P13" i="1"/>
  <c r="O13" i="1" s="1"/>
  <c r="M13" i="1" s="1"/>
  <c r="Y13" i="1"/>
  <c r="X13" i="1" s="1"/>
  <c r="V13" i="1" s="1"/>
  <c r="P14" i="1"/>
  <c r="O14" i="1" s="1"/>
  <c r="M14" i="1" s="1"/>
  <c r="Y14" i="1"/>
  <c r="X14" i="1" s="1"/>
  <c r="V14" i="1" s="1"/>
  <c r="P15" i="1"/>
  <c r="O15" i="1" s="1"/>
  <c r="M15" i="1" s="1"/>
  <c r="Y15" i="1"/>
  <c r="X15" i="1" s="1"/>
  <c r="V15" i="1" s="1"/>
  <c r="P16" i="1"/>
  <c r="O16" i="1" s="1"/>
  <c r="M16" i="1" s="1"/>
  <c r="Y16" i="1"/>
  <c r="X16" i="1" s="1"/>
  <c r="V16" i="1" s="1"/>
  <c r="P17" i="1"/>
  <c r="O17" i="1" s="1"/>
  <c r="M17" i="1" s="1"/>
  <c r="Y17" i="1"/>
  <c r="X17" i="1" s="1"/>
  <c r="V17" i="1" s="1"/>
  <c r="P18" i="1"/>
  <c r="O18" i="1" s="1"/>
  <c r="M18" i="1" s="1"/>
  <c r="Y18" i="1"/>
  <c r="X18" i="1" s="1"/>
  <c r="V18" i="1" s="1"/>
  <c r="P19" i="1"/>
  <c r="O19" i="1" s="1"/>
  <c r="M19" i="1" s="1"/>
  <c r="Y19" i="1"/>
  <c r="X19" i="1" s="1"/>
  <c r="V19" i="1" s="1"/>
  <c r="P20" i="1"/>
  <c r="O20" i="1" s="1"/>
  <c r="M20" i="1" s="1"/>
  <c r="Y20" i="1"/>
  <c r="X20" i="1" s="1"/>
  <c r="V20" i="1" s="1"/>
  <c r="P21" i="1"/>
  <c r="O21" i="1" s="1"/>
  <c r="M21" i="1" s="1"/>
  <c r="Y21" i="1"/>
  <c r="X21" i="1" s="1"/>
  <c r="V21" i="1" s="1"/>
  <c r="P22" i="1"/>
  <c r="O22" i="1" s="1"/>
  <c r="M22" i="1" s="1"/>
  <c r="Y22" i="1"/>
  <c r="X22" i="1" s="1"/>
  <c r="V22" i="1" s="1"/>
  <c r="G22" i="1"/>
  <c r="F22" i="1" s="1"/>
  <c r="D22" i="1" s="1"/>
  <c r="G21" i="1"/>
  <c r="F21" i="1" s="1"/>
  <c r="D21" i="1" s="1"/>
  <c r="G20" i="1"/>
  <c r="F20" i="1" s="1"/>
  <c r="D20" i="1" s="1"/>
  <c r="G19" i="1"/>
  <c r="F19" i="1" s="1"/>
  <c r="D19" i="1" s="1"/>
  <c r="G18" i="1"/>
  <c r="F18" i="1" s="1"/>
  <c r="D18" i="1" s="1"/>
  <c r="G17" i="1"/>
  <c r="F17" i="1" s="1"/>
  <c r="D17" i="1" s="1"/>
  <c r="G13" i="1"/>
  <c r="F13" i="1" s="1"/>
  <c r="D13" i="1" s="1"/>
  <c r="G16" i="1"/>
  <c r="F16" i="1" s="1"/>
  <c r="D16" i="1" s="1"/>
  <c r="G15" i="1"/>
  <c r="F15" i="1" s="1"/>
  <c r="D15" i="1" s="1"/>
  <c r="G14" i="1"/>
  <c r="F14" i="1" s="1"/>
  <c r="D14" i="1" s="1"/>
  <c r="G12" i="1"/>
  <c r="F12" i="1" s="1"/>
  <c r="D12" i="1" s="1"/>
  <c r="G11" i="1"/>
  <c r="F11" i="1" s="1"/>
  <c r="D11" i="1" s="1"/>
  <c r="G10" i="1"/>
  <c r="F10" i="1" s="1"/>
  <c r="D10" i="1" s="1"/>
  <c r="G9" i="1"/>
  <c r="F9" i="1" s="1"/>
  <c r="D9" i="1" s="1"/>
  <c r="G8" i="1"/>
  <c r="F8" i="1" s="1"/>
  <c r="D8" i="1" s="1"/>
  <c r="G7" i="1"/>
  <c r="F7" i="1" s="1"/>
  <c r="D7" i="1" s="1"/>
  <c r="M9" i="1" l="1"/>
  <c r="D150" i="1"/>
  <c r="D151" i="1" s="1"/>
  <c r="C73" i="1"/>
  <c r="C88" i="1"/>
  <c r="C110" i="1"/>
  <c r="C77" i="1"/>
  <c r="C85" i="1"/>
  <c r="C111" i="1"/>
  <c r="C78" i="1"/>
  <c r="C95" i="1"/>
  <c r="C115" i="1"/>
  <c r="C91" i="1"/>
  <c r="C109" i="1"/>
  <c r="C68" i="1"/>
  <c r="C92" i="1"/>
  <c r="C105" i="1"/>
  <c r="C76" i="1"/>
  <c r="C98" i="1"/>
  <c r="C100" i="1"/>
  <c r="C101" i="1"/>
  <c r="C81" i="1"/>
  <c r="C120" i="1"/>
  <c r="C116" i="1"/>
  <c r="C69" i="1"/>
  <c r="C82" i="1"/>
  <c r="C104" i="1"/>
  <c r="C72" i="1"/>
  <c r="C96" i="1"/>
  <c r="C86" i="1"/>
  <c r="C106" i="1"/>
  <c r="C87" i="1"/>
  <c r="C66" i="1"/>
  <c r="C84" i="1"/>
  <c r="C108" i="1"/>
  <c r="C114" i="1"/>
  <c r="C99" i="1"/>
  <c r="C93" i="1"/>
  <c r="C119" i="1"/>
  <c r="C71" i="1"/>
  <c r="C107" i="1"/>
  <c r="C65" i="1"/>
  <c r="C89" i="1"/>
  <c r="C102" i="1"/>
  <c r="C113" i="1"/>
  <c r="C117" i="1"/>
  <c r="C94" i="1"/>
  <c r="C83" i="1"/>
  <c r="C74" i="1"/>
  <c r="C75" i="1"/>
  <c r="C118" i="1"/>
  <c r="C70" i="1"/>
  <c r="C90" i="1"/>
  <c r="C148" i="1"/>
  <c r="C147" i="1"/>
  <c r="C146" i="1"/>
  <c r="C133" i="1"/>
  <c r="C135" i="1"/>
  <c r="C134" i="1"/>
  <c r="C132" i="1"/>
  <c r="C22" i="1"/>
  <c r="C47" i="1"/>
  <c r="C41" i="1"/>
  <c r="C49" i="1"/>
  <c r="C42" i="1"/>
  <c r="C43" i="1"/>
  <c r="C46" i="1"/>
  <c r="C51" i="1"/>
  <c r="C52" i="1"/>
  <c r="C53" i="1"/>
  <c r="C48" i="1"/>
  <c r="C45" i="1"/>
  <c r="C50" i="1"/>
  <c r="C44" i="1"/>
  <c r="C54" i="1"/>
  <c r="C17" i="1"/>
  <c r="C21" i="1"/>
  <c r="C18" i="1"/>
  <c r="C20" i="1"/>
  <c r="C19" i="1"/>
  <c r="C15" i="1"/>
  <c r="C13" i="1"/>
  <c r="C12" i="1"/>
  <c r="C14" i="1"/>
  <c r="C16" i="1"/>
  <c r="C8" i="1"/>
  <c r="C9" i="1"/>
  <c r="C10" i="1"/>
  <c r="C11" i="1"/>
  <c r="C7" i="1"/>
  <c r="D55" i="1" l="1"/>
  <c r="D56" i="1" s="1"/>
  <c r="D57" i="1" s="1"/>
  <c r="D136" i="1"/>
  <c r="D137" i="1" s="1"/>
  <c r="D138" i="1" s="1"/>
  <c r="D121" i="1"/>
  <c r="D23" i="1"/>
  <c r="D122" i="1" l="1"/>
  <c r="D123" i="1"/>
  <c r="D25" i="1"/>
</calcChain>
</file>

<file path=xl/sharedStrings.xml><?xml version="1.0" encoding="utf-8"?>
<sst xmlns="http://schemas.openxmlformats.org/spreadsheetml/2006/main" count="896" uniqueCount="194">
  <si>
    <t>الرقم التسلسلي</t>
  </si>
  <si>
    <t>وصف البند</t>
  </si>
  <si>
    <t xml:space="preserve">الكمية </t>
  </si>
  <si>
    <t>السعر الإجمالي</t>
  </si>
  <si>
    <t>رقما</t>
  </si>
  <si>
    <t>السعر الاجمالي</t>
  </si>
  <si>
    <t>ضريبة القيمة المضافة (15%)</t>
  </si>
  <si>
    <t>التكلفة الإجمالية شامل الضريبة</t>
  </si>
  <si>
    <t>وحدة القياس</t>
  </si>
  <si>
    <t>سعر الوحدة</t>
  </si>
  <si>
    <t>السعر الإجمالي شامل الضريبة</t>
  </si>
  <si>
    <t>الضرية</t>
  </si>
  <si>
    <t xml:space="preserve">السنة الأولى </t>
  </si>
  <si>
    <t xml:space="preserve">السنة الثانية </t>
  </si>
  <si>
    <t xml:space="preserve">السنة الثالثة </t>
  </si>
  <si>
    <t>السعر الإجمالي شامل الضريبة لجميع السنوات</t>
  </si>
  <si>
    <t>زيت محرك نوع  10W30</t>
  </si>
  <si>
    <t>زيت محرك نوع DIESEL 15w40</t>
  </si>
  <si>
    <t>زيت محرك 5W20</t>
  </si>
  <si>
    <t>زيت محرك 0W20</t>
  </si>
  <si>
    <t>زيت محرك 5W30</t>
  </si>
  <si>
    <t>زيت محرك R5000 4T 10W40</t>
  </si>
  <si>
    <t>لتر</t>
  </si>
  <si>
    <t>80</t>
  </si>
  <si>
    <t>3400</t>
  </si>
  <si>
    <t>392</t>
  </si>
  <si>
    <t>7456</t>
  </si>
  <si>
    <t>13008</t>
  </si>
  <si>
    <t>7232</t>
  </si>
  <si>
    <t>8192</t>
  </si>
  <si>
    <t>1472</t>
  </si>
  <si>
    <t>4224</t>
  </si>
  <si>
    <t>544</t>
  </si>
  <si>
    <t>156</t>
  </si>
  <si>
    <t>17</t>
  </si>
  <si>
    <t>13.75</t>
  </si>
  <si>
    <t>11</t>
  </si>
  <si>
    <t>12</t>
  </si>
  <si>
    <t>22</t>
  </si>
  <si>
    <t>30</t>
  </si>
  <si>
    <t>18</t>
  </si>
  <si>
    <t>13</t>
  </si>
  <si>
    <t>30.5</t>
  </si>
  <si>
    <t>19</t>
  </si>
  <si>
    <t>18.50</t>
  </si>
  <si>
    <t>17.5</t>
  </si>
  <si>
    <t>12.50</t>
  </si>
  <si>
    <t>12.5</t>
  </si>
  <si>
    <t>22.5</t>
  </si>
  <si>
    <t>جدول الكميات والاسعار لمنافسة/ تأمين وتوريد غيار الزيوت ومشتقاتها وغسيل السيارات الخاصة بقوات أمن المنشآت (زيوت المحركات)</t>
  </si>
  <si>
    <t>WS</t>
  </si>
  <si>
    <t>Type T-N</t>
  </si>
  <si>
    <t>GL-4 75W-90</t>
  </si>
  <si>
    <t>FE</t>
  </si>
  <si>
    <t>MERCON LV</t>
  </si>
  <si>
    <t>GL-4 75W-85</t>
  </si>
  <si>
    <t>CVT   AT</t>
  </si>
  <si>
    <t>زيت تروس 90</t>
  </si>
  <si>
    <t>ATF SB-IV</t>
  </si>
  <si>
    <t>BV 75 80</t>
  </si>
  <si>
    <t>ATE III</t>
  </si>
  <si>
    <t>ATF DEXRON-VI</t>
  </si>
  <si>
    <t>8SPED</t>
  </si>
  <si>
    <t>666</t>
  </si>
  <si>
    <t>28</t>
  </si>
  <si>
    <t>20</t>
  </si>
  <si>
    <t>600</t>
  </si>
  <si>
    <t>10</t>
  </si>
  <si>
    <t>2</t>
  </si>
  <si>
    <t>120</t>
  </si>
  <si>
    <t>83</t>
  </si>
  <si>
    <t>7</t>
  </si>
  <si>
    <t>900</t>
  </si>
  <si>
    <t>4</t>
  </si>
  <si>
    <t>137</t>
  </si>
  <si>
    <t>194</t>
  </si>
  <si>
    <t>33</t>
  </si>
  <si>
    <t>85</t>
  </si>
  <si>
    <t>جدول الكميات والاسعار لمنافسة/ تأمين وتوريد غيار الزيوت ومشتقاتها وغسيل السيارات الخاصة بقوات أمن المنشآت / زيوت القير</t>
  </si>
  <si>
    <t>فلتر ربع تويوتا</t>
  </si>
  <si>
    <t>فلتر اف جي تويوتا</t>
  </si>
  <si>
    <t>فلتر  فورشنر تويوتا</t>
  </si>
  <si>
    <t>فلتر شاص تويوتا</t>
  </si>
  <si>
    <t>فلتر اكسبلور فورد</t>
  </si>
  <si>
    <t>فلتر التيما نيسان</t>
  </si>
  <si>
    <t>فلتر تورس فورد</t>
  </si>
  <si>
    <t>فلتر تاهو شفرولية</t>
  </si>
  <si>
    <t>فلتر درانقو دوج</t>
  </si>
  <si>
    <t>فلتر تشارجر دوج</t>
  </si>
  <si>
    <t>فلتر دينا ايسوزو</t>
  </si>
  <si>
    <t>فلتر شاحنة ايسوزو</t>
  </si>
  <si>
    <t>فلتر لاند كروزر تويوتا</t>
  </si>
  <si>
    <t>فلتر فكتوريا فورد</t>
  </si>
  <si>
    <t>فلتر امبالا شفروليه</t>
  </si>
  <si>
    <t>فلتر بوكسر بيجو</t>
  </si>
  <si>
    <t>فلتر سفانا جي ام</t>
  </si>
  <si>
    <t>فلتر بكب نيسان</t>
  </si>
  <si>
    <t>فلتر سيدان بيجو</t>
  </si>
  <si>
    <t>فلتر هايلوكس تويوتا</t>
  </si>
  <si>
    <t>فلتر شاحنة مرسيدس</t>
  </si>
  <si>
    <t>فلتر جيب سوزوكي</t>
  </si>
  <si>
    <t>فلتر كامري تويوتا</t>
  </si>
  <si>
    <t>فلتر يوكن جي ام</t>
  </si>
  <si>
    <t>فلتر شاحنة فولفو</t>
  </si>
  <si>
    <t>فلتر باص نيسان</t>
  </si>
  <si>
    <t>فلتر دينا ميتسوبيشي</t>
  </si>
  <si>
    <t>فلتر اف 150 فورد</t>
  </si>
  <si>
    <t>فلتر رام دوج</t>
  </si>
  <si>
    <t>فلتر حافلة نيسان</t>
  </si>
  <si>
    <t>فلتر بكب ايسوزو</t>
  </si>
  <si>
    <t>فلتر اف 550 فورد</t>
  </si>
  <si>
    <t>فلتر حافلة هيونداي</t>
  </si>
  <si>
    <t>فلتر رافعة شوكية كات كتر بلر</t>
  </si>
  <si>
    <t>فلتر اكسبديشن فورد</t>
  </si>
  <si>
    <t>فلتر صني نيسان</t>
  </si>
  <si>
    <t>فلتر بارتنر بيجو</t>
  </si>
  <si>
    <t>فلتر باص تويوتا</t>
  </si>
  <si>
    <t>فلتر فوكس فورد</t>
  </si>
  <si>
    <t>فلتر اوريون تويوتا</t>
  </si>
  <si>
    <t>فلتر دراجة سوزوكي</t>
  </si>
  <si>
    <t>فلتر ونيت فورد</t>
  </si>
  <si>
    <t>فلتر سوبربان شفروليه</t>
  </si>
  <si>
    <t>فلتر النترا هيونداي</t>
  </si>
  <si>
    <t>فلتر دينا هيونداي</t>
  </si>
  <si>
    <t>فلتر باص مرسيدس 50 راكب</t>
  </si>
  <si>
    <t>فلتر شاحنة هيونداي</t>
  </si>
  <si>
    <t>فلتر رافعة شوكية تويوتا</t>
  </si>
  <si>
    <t>فلتر رافعة شوكية ميتسوبيشي</t>
  </si>
  <si>
    <t>فلتر سيرا جي ام</t>
  </si>
  <si>
    <t>S600 مرسيدس</t>
  </si>
  <si>
    <t>راس مرسيدس</t>
  </si>
  <si>
    <t>حافلة ميتسوبيشي</t>
  </si>
  <si>
    <t>راس فولفو</t>
  </si>
  <si>
    <t>شاحنة ميتسوبيشي</t>
  </si>
  <si>
    <t>فورد مدرعة</t>
  </si>
  <si>
    <t>بالعدد</t>
  </si>
  <si>
    <t>4497</t>
  </si>
  <si>
    <t>3378</t>
  </si>
  <si>
    <t>1197</t>
  </si>
  <si>
    <t>903</t>
  </si>
  <si>
    <t>312</t>
  </si>
  <si>
    <t>612</t>
  </si>
  <si>
    <t>327</t>
  </si>
  <si>
    <t>450</t>
  </si>
  <si>
    <t>249</t>
  </si>
  <si>
    <t>288</t>
  </si>
  <si>
    <t>444</t>
  </si>
  <si>
    <t>402</t>
  </si>
  <si>
    <t>381</t>
  </si>
  <si>
    <t>306</t>
  </si>
  <si>
    <t>168</t>
  </si>
  <si>
    <t>345</t>
  </si>
  <si>
    <t>216</t>
  </si>
  <si>
    <t>198</t>
  </si>
  <si>
    <t>183</t>
  </si>
  <si>
    <t>150</t>
  </si>
  <si>
    <t>123</t>
  </si>
  <si>
    <t>102</t>
  </si>
  <si>
    <t>84</t>
  </si>
  <si>
    <t>66</t>
  </si>
  <si>
    <t>135</t>
  </si>
  <si>
    <t>285</t>
  </si>
  <si>
    <t>87</t>
  </si>
  <si>
    <t>63</t>
  </si>
  <si>
    <t>144</t>
  </si>
  <si>
    <t>51</t>
  </si>
  <si>
    <t>45</t>
  </si>
  <si>
    <t>15</t>
  </si>
  <si>
    <t>36</t>
  </si>
  <si>
    <t>39</t>
  </si>
  <si>
    <t>9</t>
  </si>
  <si>
    <t>3</t>
  </si>
  <si>
    <t>6</t>
  </si>
  <si>
    <t>جدول الكميات والاسعار لمنافسة/ تأمين وتوريد غيار الزيوت ومشتقاتها وغسيل السيارات الخاصة بقوات أمن المنشآت / فلاتر المحركات (السيوفونات )</t>
  </si>
  <si>
    <t>جدول الكميات والاسعار لمنافسة/ تأمين وتوريد غيار الزيوت ومشتقاتها وغسيل السيارات الخاصة بقوات أمن المنشآت / مشتقات الزيوت</t>
  </si>
  <si>
    <t xml:space="preserve">زيت الهدروليك </t>
  </si>
  <si>
    <t xml:space="preserve">زيت الفرامل </t>
  </si>
  <si>
    <t>تشحيم</t>
  </si>
  <si>
    <t>ماء  رديتر أصلي</t>
  </si>
  <si>
    <t>14</t>
  </si>
  <si>
    <t>250</t>
  </si>
  <si>
    <t>12000</t>
  </si>
  <si>
    <t>درزن</t>
  </si>
  <si>
    <t>علبة</t>
  </si>
  <si>
    <t>جالون</t>
  </si>
  <si>
    <t xml:space="preserve">جدول الكميات والاسعار لمنافسة/ تأمين وتوريد غيار الزيوت ومشتقاتها وغسيل السيارات الخاصة بقوات أمن المنشآت / غسيل السيارات </t>
  </si>
  <si>
    <t>غسيل عادي للسيارات الصغيرة عدد(425)</t>
  </si>
  <si>
    <t>غسيل عادي للسيارات المتوسطة عدد (2231)</t>
  </si>
  <si>
    <t>غسيل عادي لسيارات النقل الثقيل عدد (367)</t>
  </si>
  <si>
    <t>10200</t>
  </si>
  <si>
    <t>53544</t>
  </si>
  <si>
    <t>8808</t>
  </si>
  <si>
    <t>65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</si>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</sst>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22"/>
      <color theme="1"/>
      <name val="Arial"/>
      <family val="2"/>
      <charset val="178"/>
      <scheme val="minor"/>
    </font>
    <font>
      <b/>
      <sz val="22"/>
      <color theme="1"/>
      <name val="Cairo"/>
      <charset val="178"/>
    </font>
    <font>
      <b/>
      <sz val="22"/>
      <color rgb="FF000000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164" fontId="2" fillId="0" borderId="4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" fontId="2" fillId="0" borderId="9" xfId="1" applyNumberFormat="1" applyFont="1" applyBorder="1" applyAlignment="1">
      <alignment horizontal="center" vertical="center" wrapText="1"/>
    </xf>
    <xf numFmtId="4" fontId="2" fillId="0" borderId="14" xfId="1" applyNumberFormat="1" applyFont="1" applyBorder="1" applyAlignment="1">
      <alignment horizontal="center" vertical="center" wrapText="1"/>
    </xf>
    <xf numFmtId="4" fontId="2" fillId="0" borderId="6" xfId="1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4" xfId="1" applyFont="1" applyBorder="1" applyAlignment="1">
      <alignment horizontal="center" vertical="center" wrapText="1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4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2" fillId="0" borderId="11" xfId="1" applyNumberFormat="1" applyFont="1" applyBorder="1" applyAlignment="1">
      <alignment horizontal="center" vertical="center" wrapText="1"/>
    </xf>
    <xf numFmtId="4" fontId="2" fillId="0" borderId="16" xfId="1" applyNumberFormat="1" applyFont="1" applyBorder="1" applyAlignment="1">
      <alignment horizontal="center" vertical="center" wrapText="1"/>
    </xf>
    <xf numFmtId="4" fontId="2" fillId="0" borderId="17" xfId="1" applyNumberFormat="1" applyFont="1" applyBorder="1" applyAlignment="1">
      <alignment horizontal="center" vertical="center" wrapText="1"/>
    </xf>
    <xf numFmtId="164" fontId="2" fillId="0" borderId="9" xfId="1" applyFont="1" applyBorder="1" applyAlignment="1">
      <alignment horizontal="center" vertical="center" wrapText="1"/>
    </xf>
    <xf numFmtId="164" fontId="2" fillId="0" borderId="6" xfId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822-DCAA-7741-A65A-880B45117355}">
  <dimension ref="C2:AF151"/>
  <sheetViews>
    <sheetView showGridLines="0" tabSelected="1" topLeftCell="A10" zoomScale="45" zoomScaleNormal="100" zoomScaleSheetLayoutView="100" workbookViewId="0">
      <selection activeCell="D24" sqref="D24:AA24"/>
    </sheetView>
  </sheetViews>
  <sheetFormatPr defaultColWidth="11.109375" defaultRowHeight="57" customHeight="1"/>
  <cols>
    <col min="1" max="1" width="11.109375" style="7"/>
    <col min="2" max="2" width="9.109375" style="7" customWidth="1"/>
    <col min="3" max="3" width="33.77734375" style="7" customWidth="1"/>
    <col min="4" max="4" width="15.44140625" style="7" customWidth="1"/>
    <col min="5" max="5" width="13.44140625" style="7" customWidth="1"/>
    <col min="6" max="6" width="19.88671875" style="7" bestFit="1" customWidth="1"/>
    <col min="7" max="10" width="11.109375" style="7"/>
    <col min="11" max="11" width="12.77734375" style="7" customWidth="1"/>
    <col min="12" max="12" width="13.44140625" style="7" customWidth="1"/>
    <col min="13" max="13" width="11.109375" style="7" customWidth="1"/>
    <col min="14" max="14" width="13.6640625" style="7" customWidth="1"/>
    <col min="15" max="15" width="21.44140625" style="7" customWidth="1"/>
    <col min="16" max="19" width="11.109375" style="7"/>
    <col min="20" max="20" width="14.44140625" style="7" customWidth="1"/>
    <col min="21" max="21" width="13" style="7" customWidth="1"/>
    <col min="22" max="22" width="22.77734375" style="7" customWidth="1"/>
    <col min="23" max="23" width="6.33203125" style="7" customWidth="1"/>
    <col min="24" max="24" width="25.6640625" style="7" customWidth="1"/>
    <col min="25" max="25" width="17.33203125" style="7" customWidth="1"/>
    <col min="26" max="26" width="5.44140625" style="7" customWidth="1"/>
    <col min="27" max="27" width="12.77734375" style="7" customWidth="1"/>
    <col min="28" max="28" width="6.44140625" style="7" customWidth="1"/>
    <col min="29" max="29" width="13.109375" style="7" customWidth="1"/>
    <col min="30" max="30" width="9.33203125" style="7" customWidth="1"/>
    <col min="31" max="31" width="72.77734375" style="7" customWidth="1"/>
    <col min="32" max="32" width="15.6640625" style="7" customWidth="1"/>
    <col min="33" max="16384" width="11.109375" style="7"/>
  </cols>
  <sheetData>
    <row r="2" spans="3:32" ht="57" customHeight="1" thickBot="1"/>
    <row r="3" spans="3:32" ht="57" customHeight="1" thickBot="1">
      <c r="D3" s="28" t="s">
        <v>49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0"/>
    </row>
    <row r="4" spans="3:32" ht="57" customHeight="1" thickBot="1">
      <c r="D4" s="31" t="s">
        <v>14</v>
      </c>
      <c r="E4" s="32"/>
      <c r="F4" s="32"/>
      <c r="G4" s="32"/>
      <c r="H4" s="32"/>
      <c r="I4" s="32"/>
      <c r="J4" s="32"/>
      <c r="K4" s="32"/>
      <c r="L4" s="33"/>
      <c r="M4" s="34" t="s">
        <v>13</v>
      </c>
      <c r="N4" s="35"/>
      <c r="O4" s="35"/>
      <c r="P4" s="35"/>
      <c r="Q4" s="35"/>
      <c r="R4" s="35"/>
      <c r="S4" s="35"/>
      <c r="T4" s="35"/>
      <c r="U4" s="37"/>
      <c r="V4" s="38" t="s">
        <v>12</v>
      </c>
      <c r="W4" s="39"/>
      <c r="X4" s="39"/>
      <c r="Y4" s="39"/>
      <c r="Z4" s="39"/>
      <c r="AA4" s="39"/>
      <c r="AB4" s="39"/>
      <c r="AC4" s="39"/>
      <c r="AD4" s="61"/>
      <c r="AE4" s="24" t="s">
        <v>1</v>
      </c>
      <c r="AF4" s="44" t="s">
        <v>0</v>
      </c>
    </row>
    <row r="5" spans="3:32" ht="57" customHeight="1" thickBot="1">
      <c r="C5" s="42" t="s">
        <v>15</v>
      </c>
      <c r="D5" s="28" t="s">
        <v>10</v>
      </c>
      <c r="E5" s="30"/>
      <c r="F5" s="8" t="s">
        <v>11</v>
      </c>
      <c r="G5" s="28" t="s">
        <v>5</v>
      </c>
      <c r="H5" s="30"/>
      <c r="I5" s="24" t="s">
        <v>9</v>
      </c>
      <c r="J5" s="25"/>
      <c r="K5" s="44" t="s">
        <v>2</v>
      </c>
      <c r="L5" s="44" t="s">
        <v>8</v>
      </c>
      <c r="M5" s="28" t="s">
        <v>10</v>
      </c>
      <c r="N5" s="30"/>
      <c r="O5" s="8" t="s">
        <v>11</v>
      </c>
      <c r="P5" s="28" t="s">
        <v>5</v>
      </c>
      <c r="Q5" s="30"/>
      <c r="R5" s="24" t="s">
        <v>9</v>
      </c>
      <c r="S5" s="25"/>
      <c r="T5" s="44" t="s">
        <v>2</v>
      </c>
      <c r="U5" s="44" t="s">
        <v>8</v>
      </c>
      <c r="V5" s="28" t="s">
        <v>10</v>
      </c>
      <c r="W5" s="30"/>
      <c r="X5" s="8" t="s">
        <v>11</v>
      </c>
      <c r="Y5" s="28" t="s">
        <v>5</v>
      </c>
      <c r="Z5" s="30"/>
      <c r="AA5" s="24" t="s">
        <v>9</v>
      </c>
      <c r="AB5" s="25"/>
      <c r="AC5" s="44" t="s">
        <v>2</v>
      </c>
      <c r="AD5" s="44" t="s">
        <v>8</v>
      </c>
      <c r="AE5" s="48"/>
      <c r="AF5" s="45"/>
    </row>
    <row r="6" spans="3:32" ht="57" customHeight="1">
      <c r="C6" s="43"/>
      <c r="D6" s="24" t="s">
        <v>4</v>
      </c>
      <c r="E6" s="25"/>
      <c r="F6" s="9" t="s">
        <v>4</v>
      </c>
      <c r="G6" s="24" t="s">
        <v>4</v>
      </c>
      <c r="H6" s="25"/>
      <c r="I6" s="24" t="s">
        <v>4</v>
      </c>
      <c r="J6" s="25"/>
      <c r="K6" s="45"/>
      <c r="L6" s="45"/>
      <c r="M6" s="24" t="s">
        <v>4</v>
      </c>
      <c r="N6" s="25"/>
      <c r="O6" s="9" t="s">
        <v>4</v>
      </c>
      <c r="P6" s="24" t="s">
        <v>4</v>
      </c>
      <c r="Q6" s="25"/>
      <c r="R6" s="24" t="s">
        <v>4</v>
      </c>
      <c r="S6" s="25"/>
      <c r="T6" s="45"/>
      <c r="U6" s="45"/>
      <c r="V6" s="24" t="s">
        <v>4</v>
      </c>
      <c r="W6" s="25"/>
      <c r="X6" s="9" t="s">
        <v>4</v>
      </c>
      <c r="Y6" s="24" t="s">
        <v>4</v>
      </c>
      <c r="Z6" s="25"/>
      <c r="AA6" s="24" t="s">
        <v>4</v>
      </c>
      <c r="AB6" s="25"/>
      <c r="AC6" s="45"/>
      <c r="AD6" s="45"/>
      <c r="AE6" s="48"/>
      <c r="AF6" s="45"/>
    </row>
    <row r="7" spans="3:32" ht="57" customHeight="1">
      <c r="C7" s="10">
        <f>D7+M7+V7</f>
        <v>1876524</v>
      </c>
      <c r="D7" s="21">
        <f>F7+G7</f>
        <v>685653</v>
      </c>
      <c r="E7" s="21"/>
      <c r="F7" s="1">
        <f>G7*0.15</f>
        <v>89433</v>
      </c>
      <c r="G7" s="22">
        <f>I7*K7</f>
        <v>596220</v>
      </c>
      <c r="H7" s="22"/>
      <c r="I7" s="54">
        <v>19</v>
      </c>
      <c r="J7" s="55"/>
      <c r="K7" s="4">
        <v>31380</v>
      </c>
      <c r="L7" s="4" t="s">
        <v>22</v>
      </c>
      <c r="M7" s="21">
        <f>O7+P7</f>
        <v>649566</v>
      </c>
      <c r="N7" s="21"/>
      <c r="O7" s="1">
        <f>P7*0.15</f>
        <v>84726</v>
      </c>
      <c r="P7" s="22">
        <f>R7*T7</f>
        <v>564840</v>
      </c>
      <c r="Q7" s="22"/>
      <c r="R7" s="54">
        <v>18</v>
      </c>
      <c r="S7" s="55"/>
      <c r="T7" s="4">
        <v>31380</v>
      </c>
      <c r="U7" s="4" t="s">
        <v>22</v>
      </c>
      <c r="V7" s="21">
        <f>X7+Y7</f>
        <v>541305</v>
      </c>
      <c r="W7" s="21"/>
      <c r="X7" s="1">
        <f>Y7*0.15</f>
        <v>70605</v>
      </c>
      <c r="Y7" s="22">
        <f>AA7*AC7</f>
        <v>470700</v>
      </c>
      <c r="Z7" s="22"/>
      <c r="AA7" s="54">
        <v>15</v>
      </c>
      <c r="AB7" s="55"/>
      <c r="AC7" s="4">
        <v>31380</v>
      </c>
      <c r="AD7" s="4" t="s">
        <v>22</v>
      </c>
      <c r="AE7" s="4" t="s">
        <v>16</v>
      </c>
      <c r="AF7" s="4">
        <v>1</v>
      </c>
    </row>
    <row r="8" spans="3:32" ht="57" customHeight="1">
      <c r="C8" s="10">
        <f t="shared" ref="C8:C11" si="0">D8+M8+V8</f>
        <v>3438366.5999999996</v>
      </c>
      <c r="D8" s="21">
        <f t="shared" ref="D8:D11" si="1">F8+G8</f>
        <v>1235141.3999999999</v>
      </c>
      <c r="E8" s="21"/>
      <c r="F8" s="1">
        <f>G8*0.15</f>
        <v>161105.4</v>
      </c>
      <c r="G8" s="22">
        <f>I8*K8</f>
        <v>1074036</v>
      </c>
      <c r="H8" s="22"/>
      <c r="I8" s="54" t="s">
        <v>44</v>
      </c>
      <c r="J8" s="55"/>
      <c r="K8" s="4">
        <v>58056</v>
      </c>
      <c r="L8" s="4" t="s">
        <v>22</v>
      </c>
      <c r="M8" s="21">
        <f t="shared" ref="M8:M10" si="2">O8+P8</f>
        <v>1201759.2</v>
      </c>
      <c r="N8" s="21"/>
      <c r="O8" s="1">
        <f>P8*0.15</f>
        <v>156751.19999999998</v>
      </c>
      <c r="P8" s="22">
        <f>R8*T8</f>
        <v>1045008</v>
      </c>
      <c r="Q8" s="22"/>
      <c r="R8" s="54" t="s">
        <v>40</v>
      </c>
      <c r="S8" s="55">
        <v>18</v>
      </c>
      <c r="T8" s="4">
        <v>58056</v>
      </c>
      <c r="U8" s="4" t="s">
        <v>22</v>
      </c>
      <c r="V8" s="21">
        <f t="shared" ref="V8:V11" si="3">X8+Y8</f>
        <v>1001466</v>
      </c>
      <c r="W8" s="21"/>
      <c r="X8" s="1">
        <f>Y8*0.15</f>
        <v>130626</v>
      </c>
      <c r="Y8" s="22">
        <f>AA8*AC8</f>
        <v>870840</v>
      </c>
      <c r="Z8" s="22"/>
      <c r="AA8" s="54">
        <v>15</v>
      </c>
      <c r="AB8" s="55"/>
      <c r="AC8" s="4">
        <v>58056</v>
      </c>
      <c r="AD8" s="4" t="s">
        <v>22</v>
      </c>
      <c r="AE8" s="4" t="s">
        <v>16</v>
      </c>
      <c r="AF8" s="4">
        <v>2</v>
      </c>
    </row>
    <row r="9" spans="3:32" ht="57" customHeight="1">
      <c r="C9" s="10">
        <f t="shared" si="0"/>
        <v>4752</v>
      </c>
      <c r="D9" s="21">
        <f t="shared" si="1"/>
        <v>1748</v>
      </c>
      <c r="E9" s="21"/>
      <c r="F9" s="1">
        <f t="shared" ref="F9:F11" si="4">G9*0.15</f>
        <v>228</v>
      </c>
      <c r="G9" s="22">
        <f t="shared" ref="G9:G11" si="5">I9*K9</f>
        <v>1520</v>
      </c>
      <c r="H9" s="22"/>
      <c r="I9" s="54" t="s">
        <v>43</v>
      </c>
      <c r="J9" s="55"/>
      <c r="K9" s="4">
        <v>80</v>
      </c>
      <c r="L9" s="4" t="s">
        <v>22</v>
      </c>
      <c r="M9" s="21">
        <f t="shared" si="2"/>
        <v>1440</v>
      </c>
      <c r="N9" s="21"/>
      <c r="O9" s="1">
        <f>P9*Q215</f>
        <v>0</v>
      </c>
      <c r="P9" s="22">
        <f t="shared" ref="P9:P11" si="6">R9*T9</f>
        <v>1440</v>
      </c>
      <c r="Q9" s="22"/>
      <c r="R9" s="54" t="s">
        <v>40</v>
      </c>
      <c r="S9" s="55" t="s">
        <v>40</v>
      </c>
      <c r="T9" s="4" t="s">
        <v>23</v>
      </c>
      <c r="U9" s="4" t="s">
        <v>22</v>
      </c>
      <c r="V9" s="21">
        <f t="shared" si="3"/>
        <v>1564</v>
      </c>
      <c r="W9" s="21"/>
      <c r="X9" s="1">
        <f t="shared" ref="X9:X11" si="7">Y9*0.15</f>
        <v>204</v>
      </c>
      <c r="Y9" s="22">
        <f t="shared" ref="Y9:Y11" si="8">AA9*AC9</f>
        <v>1360</v>
      </c>
      <c r="Z9" s="22"/>
      <c r="AA9" s="60">
        <v>17</v>
      </c>
      <c r="AB9" s="60">
        <v>17</v>
      </c>
      <c r="AC9" s="4">
        <v>80</v>
      </c>
      <c r="AD9" s="4" t="s">
        <v>22</v>
      </c>
      <c r="AE9" s="4" t="s">
        <v>16</v>
      </c>
      <c r="AF9" s="4">
        <v>3</v>
      </c>
    </row>
    <row r="10" spans="3:32" ht="57" customHeight="1">
      <c r="C10" s="10">
        <f t="shared" si="0"/>
        <v>896429.60000000009</v>
      </c>
      <c r="D10" s="21">
        <f t="shared" si="1"/>
        <v>304612</v>
      </c>
      <c r="E10" s="21"/>
      <c r="F10" s="1">
        <f t="shared" si="4"/>
        <v>39732</v>
      </c>
      <c r="G10" s="22">
        <f t="shared" si="5"/>
        <v>264880</v>
      </c>
      <c r="H10" s="22"/>
      <c r="I10" s="54" t="s">
        <v>45</v>
      </c>
      <c r="J10" s="55"/>
      <c r="K10" s="4">
        <v>15136</v>
      </c>
      <c r="L10" s="4" t="s">
        <v>22</v>
      </c>
      <c r="M10" s="21">
        <f t="shared" si="2"/>
        <v>295908.8</v>
      </c>
      <c r="N10" s="21"/>
      <c r="O10" s="1">
        <f t="shared" ref="O9:O10" si="9">P10*0.15</f>
        <v>38596.799999999996</v>
      </c>
      <c r="P10" s="22">
        <f t="shared" si="6"/>
        <v>257312</v>
      </c>
      <c r="Q10" s="22"/>
      <c r="R10" s="54" t="s">
        <v>34</v>
      </c>
      <c r="S10" s="55" t="s">
        <v>34</v>
      </c>
      <c r="T10" s="4">
        <v>15136</v>
      </c>
      <c r="U10" s="4" t="s">
        <v>22</v>
      </c>
      <c r="V10" s="21">
        <f t="shared" si="3"/>
        <v>295908.8</v>
      </c>
      <c r="W10" s="21"/>
      <c r="X10" s="1">
        <f t="shared" si="7"/>
        <v>38596.799999999996</v>
      </c>
      <c r="Y10" s="22">
        <f t="shared" si="8"/>
        <v>257312</v>
      </c>
      <c r="Z10" s="22"/>
      <c r="AA10" s="60" t="s">
        <v>34</v>
      </c>
      <c r="AB10" s="60" t="s">
        <v>34</v>
      </c>
      <c r="AC10" s="4">
        <v>15136</v>
      </c>
      <c r="AD10" s="4" t="s">
        <v>22</v>
      </c>
      <c r="AE10" s="4" t="s">
        <v>16</v>
      </c>
      <c r="AF10" s="4">
        <v>4</v>
      </c>
    </row>
    <row r="11" spans="3:32" ht="57" customHeight="1">
      <c r="C11" s="10">
        <f t="shared" si="0"/>
        <v>612547.5</v>
      </c>
      <c r="D11" s="21">
        <f t="shared" si="1"/>
        <v>200330</v>
      </c>
      <c r="E11" s="21"/>
      <c r="F11" s="1">
        <f t="shared" si="4"/>
        <v>26130</v>
      </c>
      <c r="G11" s="22">
        <f t="shared" si="5"/>
        <v>174200</v>
      </c>
      <c r="H11" s="22"/>
      <c r="I11" s="54" t="s">
        <v>41</v>
      </c>
      <c r="J11" s="55"/>
      <c r="K11" s="4">
        <v>13400</v>
      </c>
      <c r="L11" s="4" t="s">
        <v>22</v>
      </c>
      <c r="M11" s="21">
        <f>O11+P11</f>
        <v>200330</v>
      </c>
      <c r="N11" s="21"/>
      <c r="O11" s="1">
        <f>P11*0.15</f>
        <v>26130</v>
      </c>
      <c r="P11" s="22">
        <f t="shared" si="6"/>
        <v>174200</v>
      </c>
      <c r="Q11" s="22"/>
      <c r="R11" s="54" t="s">
        <v>41</v>
      </c>
      <c r="S11" s="55" t="s">
        <v>41</v>
      </c>
      <c r="T11" s="4">
        <v>13400</v>
      </c>
      <c r="U11" s="4" t="s">
        <v>22</v>
      </c>
      <c r="V11" s="21">
        <f t="shared" si="3"/>
        <v>211887.5</v>
      </c>
      <c r="W11" s="21"/>
      <c r="X11" s="1">
        <f t="shared" si="7"/>
        <v>27637.5</v>
      </c>
      <c r="Y11" s="22">
        <f t="shared" si="8"/>
        <v>184250</v>
      </c>
      <c r="Z11" s="22"/>
      <c r="AA11" s="60" t="s">
        <v>35</v>
      </c>
      <c r="AB11" s="60" t="s">
        <v>35</v>
      </c>
      <c r="AC11" s="4">
        <v>13400</v>
      </c>
      <c r="AD11" s="4" t="s">
        <v>22</v>
      </c>
      <c r="AE11" s="4" t="s">
        <v>17</v>
      </c>
      <c r="AF11" s="4">
        <v>5</v>
      </c>
    </row>
    <row r="12" spans="3:32" ht="57" customHeight="1">
      <c r="C12" s="10">
        <f>D12+M12+V12</f>
        <v>15952.8</v>
      </c>
      <c r="D12" s="21">
        <f>F12+G12</f>
        <v>5630.4</v>
      </c>
      <c r="E12" s="21"/>
      <c r="F12" s="1">
        <f>G12*0.15</f>
        <v>734.4</v>
      </c>
      <c r="G12" s="22">
        <f>I12*K12</f>
        <v>4896</v>
      </c>
      <c r="H12" s="22"/>
      <c r="I12" s="54" t="s">
        <v>37</v>
      </c>
      <c r="J12" s="55"/>
      <c r="K12" s="4">
        <v>408</v>
      </c>
      <c r="L12" s="4" t="s">
        <v>22</v>
      </c>
      <c r="M12" s="21">
        <f>O12+P12</f>
        <v>5161.2</v>
      </c>
      <c r="N12" s="21"/>
      <c r="O12" s="1">
        <f>P12*0.15</f>
        <v>673.19999999999993</v>
      </c>
      <c r="P12" s="22">
        <f>R12*T12</f>
        <v>4488</v>
      </c>
      <c r="Q12" s="22"/>
      <c r="R12" s="54" t="s">
        <v>36</v>
      </c>
      <c r="S12" s="55" t="s">
        <v>36</v>
      </c>
      <c r="T12" s="4">
        <v>408</v>
      </c>
      <c r="U12" s="4" t="s">
        <v>22</v>
      </c>
      <c r="V12" s="21">
        <f>X12+Y12</f>
        <v>5161.2</v>
      </c>
      <c r="W12" s="21"/>
      <c r="X12" s="1">
        <f>Y12*0.15</f>
        <v>673.19999999999993</v>
      </c>
      <c r="Y12" s="22">
        <f>AA12*AC12</f>
        <v>4488</v>
      </c>
      <c r="Z12" s="22"/>
      <c r="AA12" s="60" t="s">
        <v>36</v>
      </c>
      <c r="AB12" s="60" t="s">
        <v>36</v>
      </c>
      <c r="AC12" s="4">
        <v>408</v>
      </c>
      <c r="AD12" s="4" t="s">
        <v>22</v>
      </c>
      <c r="AE12" s="4" t="s">
        <v>17</v>
      </c>
      <c r="AF12" s="4">
        <v>6</v>
      </c>
    </row>
    <row r="13" spans="3:32" ht="57" customHeight="1">
      <c r="C13" s="10">
        <f t="shared" ref="C13:C16" si="10">D13+M13+V13</f>
        <v>142715</v>
      </c>
      <c r="D13" s="21">
        <f t="shared" ref="D13:D16" si="11">F13+G13</f>
        <v>48875</v>
      </c>
      <c r="E13" s="21"/>
      <c r="F13" s="1">
        <f>G13*0.15</f>
        <v>6375</v>
      </c>
      <c r="G13" s="22">
        <f>I13*K13</f>
        <v>42500</v>
      </c>
      <c r="H13" s="22"/>
      <c r="I13" s="54" t="s">
        <v>46</v>
      </c>
      <c r="J13" s="55"/>
      <c r="K13" s="4" t="s">
        <v>24</v>
      </c>
      <c r="L13" s="4" t="s">
        <v>22</v>
      </c>
      <c r="M13" s="21">
        <f t="shared" ref="M13:M16" si="12">O13+P13</f>
        <v>46920</v>
      </c>
      <c r="N13" s="21"/>
      <c r="O13" s="1">
        <f>P13*0.15</f>
        <v>6120</v>
      </c>
      <c r="P13" s="22">
        <f>R13*T13</f>
        <v>40800</v>
      </c>
      <c r="Q13" s="22"/>
      <c r="R13" s="54" t="s">
        <v>37</v>
      </c>
      <c r="S13" s="55" t="s">
        <v>37</v>
      </c>
      <c r="T13" s="4">
        <v>3400</v>
      </c>
      <c r="U13" s="4" t="s">
        <v>22</v>
      </c>
      <c r="V13" s="21">
        <f t="shared" ref="V13:V16" si="13">X13+Y13</f>
        <v>46920</v>
      </c>
      <c r="W13" s="21"/>
      <c r="X13" s="1">
        <f>Y13*0.15</f>
        <v>6120</v>
      </c>
      <c r="Y13" s="22">
        <f>AA13*AC13</f>
        <v>40800</v>
      </c>
      <c r="Z13" s="22"/>
      <c r="AA13" s="60" t="s">
        <v>37</v>
      </c>
      <c r="AB13" s="60" t="s">
        <v>37</v>
      </c>
      <c r="AC13" s="4">
        <v>3400</v>
      </c>
      <c r="AD13" s="4" t="s">
        <v>22</v>
      </c>
      <c r="AE13" s="4" t="s">
        <v>17</v>
      </c>
      <c r="AF13" s="4">
        <v>7</v>
      </c>
    </row>
    <row r="14" spans="3:32" ht="57" customHeight="1">
      <c r="C14" s="10">
        <f t="shared" si="10"/>
        <v>16454.2</v>
      </c>
      <c r="D14" s="21">
        <f t="shared" si="11"/>
        <v>5635</v>
      </c>
      <c r="E14" s="21"/>
      <c r="F14" s="1">
        <f t="shared" ref="F14:F16" si="14">G14*0.15</f>
        <v>735</v>
      </c>
      <c r="G14" s="22">
        <f t="shared" ref="G14:G16" si="15">I14*K14</f>
        <v>4900</v>
      </c>
      <c r="H14" s="22"/>
      <c r="I14" s="54" t="s">
        <v>47</v>
      </c>
      <c r="J14" s="55"/>
      <c r="K14" s="4" t="s">
        <v>25</v>
      </c>
      <c r="L14" s="4" t="s">
        <v>22</v>
      </c>
      <c r="M14" s="21">
        <f>O14+P14</f>
        <v>5409.6</v>
      </c>
      <c r="N14" s="21"/>
      <c r="O14" s="1">
        <f t="shared" ref="O14:O16" si="16">P14*0.15</f>
        <v>705.6</v>
      </c>
      <c r="P14" s="22">
        <f t="shared" ref="P14:P16" si="17">R14*T14</f>
        <v>4704</v>
      </c>
      <c r="Q14" s="22"/>
      <c r="R14" s="54" t="s">
        <v>37</v>
      </c>
      <c r="S14" s="55" t="s">
        <v>37</v>
      </c>
      <c r="T14" s="4">
        <v>392</v>
      </c>
      <c r="U14" s="4" t="s">
        <v>22</v>
      </c>
      <c r="V14" s="21">
        <f t="shared" si="13"/>
        <v>5409.6</v>
      </c>
      <c r="W14" s="21"/>
      <c r="X14" s="1">
        <f t="shared" ref="X14:X16" si="18">Y14*0.15</f>
        <v>705.6</v>
      </c>
      <c r="Y14" s="22">
        <f t="shared" ref="Y14:Y16" si="19">AA14*AC14</f>
        <v>4704</v>
      </c>
      <c r="Z14" s="22"/>
      <c r="AA14" s="60" t="s">
        <v>37</v>
      </c>
      <c r="AB14" s="60" t="s">
        <v>37</v>
      </c>
      <c r="AC14" s="4">
        <v>392</v>
      </c>
      <c r="AD14" s="4" t="s">
        <v>22</v>
      </c>
      <c r="AE14" s="4" t="s">
        <v>17</v>
      </c>
      <c r="AF14" s="4">
        <v>8</v>
      </c>
    </row>
    <row r="15" spans="3:32" ht="57" customHeight="1">
      <c r="C15" s="10">
        <f t="shared" si="10"/>
        <v>312965.59999999998</v>
      </c>
      <c r="D15" s="21">
        <f t="shared" si="11"/>
        <v>107180</v>
      </c>
      <c r="E15" s="21"/>
      <c r="F15" s="1">
        <f t="shared" si="14"/>
        <v>13980</v>
      </c>
      <c r="G15" s="22">
        <f t="shared" si="15"/>
        <v>93200</v>
      </c>
      <c r="H15" s="22"/>
      <c r="I15" s="54" t="s">
        <v>47</v>
      </c>
      <c r="J15" s="55"/>
      <c r="K15" s="4" t="s">
        <v>26</v>
      </c>
      <c r="L15" s="4" t="s">
        <v>22</v>
      </c>
      <c r="M15" s="21">
        <f t="shared" si="12"/>
        <v>102892.8</v>
      </c>
      <c r="N15" s="21"/>
      <c r="O15" s="1">
        <f t="shared" si="16"/>
        <v>13420.8</v>
      </c>
      <c r="P15" s="22">
        <f t="shared" si="17"/>
        <v>89472</v>
      </c>
      <c r="Q15" s="22"/>
      <c r="R15" s="54" t="s">
        <v>37</v>
      </c>
      <c r="S15" s="55" t="s">
        <v>37</v>
      </c>
      <c r="T15" s="4">
        <v>7456</v>
      </c>
      <c r="U15" s="4" t="s">
        <v>22</v>
      </c>
      <c r="V15" s="21">
        <f t="shared" si="13"/>
        <v>102892.8</v>
      </c>
      <c r="W15" s="21"/>
      <c r="X15" s="1">
        <f t="shared" si="18"/>
        <v>13420.8</v>
      </c>
      <c r="Y15" s="22">
        <f t="shared" si="19"/>
        <v>89472</v>
      </c>
      <c r="Z15" s="22"/>
      <c r="AA15" s="60" t="s">
        <v>37</v>
      </c>
      <c r="AB15" s="60" t="s">
        <v>37</v>
      </c>
      <c r="AC15" s="4">
        <v>7456</v>
      </c>
      <c r="AD15" s="4" t="s">
        <v>22</v>
      </c>
      <c r="AE15" s="4" t="s">
        <v>17</v>
      </c>
      <c r="AF15" s="4">
        <v>9</v>
      </c>
    </row>
    <row r="16" spans="3:32" ht="57" customHeight="1">
      <c r="C16" s="10">
        <f t="shared" si="10"/>
        <v>538531.19999999995</v>
      </c>
      <c r="D16" s="21">
        <f t="shared" si="11"/>
        <v>179510.39999999999</v>
      </c>
      <c r="E16" s="21"/>
      <c r="F16" s="1">
        <f t="shared" si="14"/>
        <v>23414.399999999998</v>
      </c>
      <c r="G16" s="22">
        <f t="shared" si="15"/>
        <v>156096</v>
      </c>
      <c r="H16" s="22"/>
      <c r="I16" s="54" t="s">
        <v>37</v>
      </c>
      <c r="J16" s="55"/>
      <c r="K16" s="4" t="s">
        <v>27</v>
      </c>
      <c r="L16" s="4" t="s">
        <v>22</v>
      </c>
      <c r="M16" s="21">
        <f t="shared" si="12"/>
        <v>179510.39999999999</v>
      </c>
      <c r="N16" s="21"/>
      <c r="O16" s="1">
        <f t="shared" si="16"/>
        <v>23414.399999999998</v>
      </c>
      <c r="P16" s="22">
        <f t="shared" si="17"/>
        <v>156096</v>
      </c>
      <c r="Q16" s="22"/>
      <c r="R16" s="54" t="s">
        <v>37</v>
      </c>
      <c r="S16" s="55" t="s">
        <v>37</v>
      </c>
      <c r="T16" s="4">
        <v>13008</v>
      </c>
      <c r="U16" s="4" t="s">
        <v>22</v>
      </c>
      <c r="V16" s="21">
        <f t="shared" si="13"/>
        <v>179510.39999999999</v>
      </c>
      <c r="W16" s="21"/>
      <c r="X16" s="1">
        <f t="shared" si="18"/>
        <v>23414.399999999998</v>
      </c>
      <c r="Y16" s="22">
        <f t="shared" si="19"/>
        <v>156096</v>
      </c>
      <c r="Z16" s="22"/>
      <c r="AA16" s="60" t="s">
        <v>37</v>
      </c>
      <c r="AB16" s="60" t="s">
        <v>37</v>
      </c>
      <c r="AC16" s="4">
        <v>13008</v>
      </c>
      <c r="AD16" s="4" t="s">
        <v>22</v>
      </c>
      <c r="AE16" s="4" t="s">
        <v>17</v>
      </c>
      <c r="AF16" s="4">
        <v>10</v>
      </c>
    </row>
    <row r="17" spans="3:32" ht="57" customHeight="1">
      <c r="C17" s="10">
        <f>D17+M17+V17</f>
        <v>553067.19999999995</v>
      </c>
      <c r="D17" s="21">
        <f>F17+G17</f>
        <v>187128</v>
      </c>
      <c r="E17" s="21"/>
      <c r="F17" s="1">
        <f>G17*0.15</f>
        <v>24408</v>
      </c>
      <c r="G17" s="22">
        <f>I17*K17</f>
        <v>162720</v>
      </c>
      <c r="H17" s="22"/>
      <c r="I17" s="54" t="s">
        <v>48</v>
      </c>
      <c r="J17" s="55"/>
      <c r="K17" s="4" t="s">
        <v>28</v>
      </c>
      <c r="L17" s="4" t="s">
        <v>22</v>
      </c>
      <c r="M17" s="21">
        <f>O17+P17</f>
        <v>182969.60000000001</v>
      </c>
      <c r="N17" s="21"/>
      <c r="O17" s="1">
        <f>P17*0.15</f>
        <v>23865.599999999999</v>
      </c>
      <c r="P17" s="22">
        <f>R17*T17</f>
        <v>159104</v>
      </c>
      <c r="Q17" s="22"/>
      <c r="R17" s="60" t="s">
        <v>38</v>
      </c>
      <c r="S17" s="60" t="s">
        <v>38</v>
      </c>
      <c r="T17" s="4">
        <v>7232</v>
      </c>
      <c r="U17" s="4" t="s">
        <v>22</v>
      </c>
      <c r="V17" s="21">
        <f>X17+Y17</f>
        <v>182969.60000000001</v>
      </c>
      <c r="W17" s="21"/>
      <c r="X17" s="1">
        <f>Y17*0.15</f>
        <v>23865.599999999999</v>
      </c>
      <c r="Y17" s="22">
        <f>AA17*AC17</f>
        <v>159104</v>
      </c>
      <c r="Z17" s="22"/>
      <c r="AA17" s="60" t="s">
        <v>38</v>
      </c>
      <c r="AB17" s="60" t="s">
        <v>38</v>
      </c>
      <c r="AC17" s="4">
        <v>7232</v>
      </c>
      <c r="AD17" s="4" t="s">
        <v>22</v>
      </c>
      <c r="AE17" s="4" t="s">
        <v>18</v>
      </c>
      <c r="AF17" s="4">
        <v>11</v>
      </c>
    </row>
    <row r="18" spans="3:32" ht="57" customHeight="1">
      <c r="C18" s="10">
        <f t="shared" ref="C18:C21" si="20">D18+M18+V18</f>
        <v>621772.80000000005</v>
      </c>
      <c r="D18" s="21">
        <f t="shared" ref="D18:D21" si="21">F18+G18</f>
        <v>207257.60000000001</v>
      </c>
      <c r="E18" s="21"/>
      <c r="F18" s="1">
        <f>G18*0.15</f>
        <v>27033.599999999999</v>
      </c>
      <c r="G18" s="22">
        <f>I18*K18</f>
        <v>180224</v>
      </c>
      <c r="H18" s="22"/>
      <c r="I18" s="54" t="s">
        <v>38</v>
      </c>
      <c r="J18" s="55"/>
      <c r="K18" s="4" t="s">
        <v>29</v>
      </c>
      <c r="L18" s="4" t="s">
        <v>22</v>
      </c>
      <c r="M18" s="21">
        <f t="shared" ref="M18:M21" si="22">O18+P18</f>
        <v>207257.60000000001</v>
      </c>
      <c r="N18" s="21"/>
      <c r="O18" s="1">
        <f>P18*0.15</f>
        <v>27033.599999999999</v>
      </c>
      <c r="P18" s="22">
        <f>R18*T18</f>
        <v>180224</v>
      </c>
      <c r="Q18" s="22"/>
      <c r="R18" s="54" t="s">
        <v>38</v>
      </c>
      <c r="S18" s="55" t="s">
        <v>38</v>
      </c>
      <c r="T18" s="4">
        <v>8192</v>
      </c>
      <c r="U18" s="4" t="s">
        <v>22</v>
      </c>
      <c r="V18" s="21">
        <f t="shared" ref="V18:V21" si="23">X18+Y18</f>
        <v>207257.60000000001</v>
      </c>
      <c r="W18" s="21"/>
      <c r="X18" s="1">
        <f>Y18*0.15</f>
        <v>27033.599999999999</v>
      </c>
      <c r="Y18" s="22">
        <f>AA18*AC18</f>
        <v>180224</v>
      </c>
      <c r="Z18" s="22"/>
      <c r="AA18" s="60">
        <v>22</v>
      </c>
      <c r="AB18" s="60">
        <v>22</v>
      </c>
      <c r="AC18" s="4">
        <v>8192</v>
      </c>
      <c r="AD18" s="4" t="s">
        <v>22</v>
      </c>
      <c r="AE18" s="4" t="s">
        <v>18</v>
      </c>
      <c r="AF18" s="4">
        <v>12</v>
      </c>
    </row>
    <row r="19" spans="3:32" ht="57" customHeight="1">
      <c r="C19" s="10">
        <f t="shared" si="20"/>
        <v>154044.79999999999</v>
      </c>
      <c r="D19" s="21">
        <f t="shared" si="21"/>
        <v>51630.400000000001</v>
      </c>
      <c r="E19" s="21"/>
      <c r="F19" s="1">
        <f t="shared" ref="F19:F21" si="24">G19*0.15</f>
        <v>6734.4</v>
      </c>
      <c r="G19" s="22">
        <f t="shared" ref="G19:G21" si="25">I19*K19</f>
        <v>44896</v>
      </c>
      <c r="H19" s="22"/>
      <c r="I19" s="54" t="s">
        <v>42</v>
      </c>
      <c r="J19" s="55"/>
      <c r="K19" s="4" t="s">
        <v>30</v>
      </c>
      <c r="L19" s="4" t="s">
        <v>22</v>
      </c>
      <c r="M19" s="21">
        <f t="shared" si="22"/>
        <v>51630.400000000001</v>
      </c>
      <c r="N19" s="21"/>
      <c r="O19" s="1">
        <f t="shared" ref="O19:O21" si="26">P19*0.15</f>
        <v>6734.4</v>
      </c>
      <c r="P19" s="22">
        <f t="shared" ref="P19:P21" si="27">R19*T19</f>
        <v>44896</v>
      </c>
      <c r="Q19" s="22"/>
      <c r="R19" s="54" t="s">
        <v>42</v>
      </c>
      <c r="S19" s="55" t="s">
        <v>42</v>
      </c>
      <c r="T19" s="4">
        <v>1472</v>
      </c>
      <c r="U19" s="4" t="s">
        <v>22</v>
      </c>
      <c r="V19" s="21">
        <f t="shared" si="23"/>
        <v>50784</v>
      </c>
      <c r="W19" s="21"/>
      <c r="X19" s="1">
        <f t="shared" ref="X19:X21" si="28">Y19*0.15</f>
        <v>6624</v>
      </c>
      <c r="Y19" s="22">
        <f t="shared" ref="Y19:Y21" si="29">AA19*AC19</f>
        <v>44160</v>
      </c>
      <c r="Z19" s="22"/>
      <c r="AA19" s="60">
        <v>30</v>
      </c>
      <c r="AB19" s="60">
        <v>30</v>
      </c>
      <c r="AC19" s="4">
        <v>1472</v>
      </c>
      <c r="AD19" s="4" t="s">
        <v>22</v>
      </c>
      <c r="AE19" s="4" t="s">
        <v>19</v>
      </c>
      <c r="AF19" s="4">
        <v>13</v>
      </c>
    </row>
    <row r="20" spans="3:32" ht="57" customHeight="1">
      <c r="C20" s="10">
        <f t="shared" si="20"/>
        <v>434755.19999999995</v>
      </c>
      <c r="D20" s="21">
        <f t="shared" si="21"/>
        <v>148156.79999999999</v>
      </c>
      <c r="E20" s="21"/>
      <c r="F20" s="1">
        <f t="shared" si="24"/>
        <v>19324.8</v>
      </c>
      <c r="G20" s="22">
        <f t="shared" si="25"/>
        <v>128832</v>
      </c>
      <c r="H20" s="22"/>
      <c r="I20" s="54" t="s">
        <v>42</v>
      </c>
      <c r="J20" s="55"/>
      <c r="K20" s="4" t="s">
        <v>31</v>
      </c>
      <c r="L20" s="4" t="s">
        <v>22</v>
      </c>
      <c r="M20" s="21">
        <f t="shared" si="22"/>
        <v>145728</v>
      </c>
      <c r="N20" s="21"/>
      <c r="O20" s="1">
        <f t="shared" si="26"/>
        <v>19008</v>
      </c>
      <c r="P20" s="22">
        <f t="shared" si="27"/>
        <v>126720</v>
      </c>
      <c r="Q20" s="22"/>
      <c r="R20" s="54" t="s">
        <v>39</v>
      </c>
      <c r="S20" s="55" t="s">
        <v>39</v>
      </c>
      <c r="T20" s="4">
        <v>4224</v>
      </c>
      <c r="U20" s="4" t="s">
        <v>22</v>
      </c>
      <c r="V20" s="21">
        <f t="shared" si="23"/>
        <v>140870.39999999999</v>
      </c>
      <c r="W20" s="21"/>
      <c r="X20" s="1">
        <f t="shared" si="28"/>
        <v>18374.399999999998</v>
      </c>
      <c r="Y20" s="22">
        <f t="shared" si="29"/>
        <v>122496</v>
      </c>
      <c r="Z20" s="22"/>
      <c r="AA20" s="60">
        <v>29</v>
      </c>
      <c r="AB20" s="60">
        <v>29</v>
      </c>
      <c r="AC20" s="4">
        <v>4224</v>
      </c>
      <c r="AD20" s="4" t="s">
        <v>22</v>
      </c>
      <c r="AE20" s="4" t="s">
        <v>20</v>
      </c>
      <c r="AF20" s="4">
        <v>14</v>
      </c>
    </row>
    <row r="21" spans="3:32" ht="57" customHeight="1">
      <c r="C21" s="10">
        <f t="shared" si="20"/>
        <v>55991.200000000004</v>
      </c>
      <c r="D21" s="21">
        <f t="shared" si="21"/>
        <v>19080.8</v>
      </c>
      <c r="E21" s="21"/>
      <c r="F21" s="1">
        <f t="shared" si="24"/>
        <v>2488.7999999999997</v>
      </c>
      <c r="G21" s="22">
        <f t="shared" si="25"/>
        <v>16592</v>
      </c>
      <c r="H21" s="22"/>
      <c r="I21" s="54" t="s">
        <v>42</v>
      </c>
      <c r="J21" s="55"/>
      <c r="K21" s="4" t="s">
        <v>32</v>
      </c>
      <c r="L21" s="4" t="s">
        <v>22</v>
      </c>
      <c r="M21" s="21">
        <f t="shared" si="22"/>
        <v>18768</v>
      </c>
      <c r="N21" s="21"/>
      <c r="O21" s="1">
        <f t="shared" si="26"/>
        <v>2448</v>
      </c>
      <c r="P21" s="22">
        <f t="shared" si="27"/>
        <v>16320</v>
      </c>
      <c r="Q21" s="22"/>
      <c r="R21" s="54" t="s">
        <v>39</v>
      </c>
      <c r="S21" s="55" t="s">
        <v>39</v>
      </c>
      <c r="T21" s="4">
        <v>544</v>
      </c>
      <c r="U21" s="4" t="s">
        <v>22</v>
      </c>
      <c r="V21" s="21">
        <f t="shared" si="23"/>
        <v>18142.400000000001</v>
      </c>
      <c r="W21" s="21"/>
      <c r="X21" s="1">
        <f t="shared" si="28"/>
        <v>2366.4</v>
      </c>
      <c r="Y21" s="22">
        <f t="shared" si="29"/>
        <v>15776</v>
      </c>
      <c r="Z21" s="22"/>
      <c r="AA21" s="60">
        <v>29</v>
      </c>
      <c r="AB21" s="60">
        <v>29</v>
      </c>
      <c r="AC21" s="4">
        <v>544</v>
      </c>
      <c r="AD21" s="4" t="s">
        <v>22</v>
      </c>
      <c r="AE21" s="4" t="s">
        <v>20</v>
      </c>
      <c r="AF21" s="4">
        <v>15</v>
      </c>
    </row>
    <row r="22" spans="3:32" ht="57" customHeight="1">
      <c r="C22" s="10">
        <f>D22+M22+V22</f>
        <v>16146</v>
      </c>
      <c r="D22" s="21">
        <f t="shared" ref="D22" si="30">F22+G22</f>
        <v>5382</v>
      </c>
      <c r="E22" s="21"/>
      <c r="F22" s="1">
        <f t="shared" ref="F22" si="31">G22*0.15</f>
        <v>702</v>
      </c>
      <c r="G22" s="22">
        <f t="shared" ref="G22" si="32">I22*K22</f>
        <v>4680</v>
      </c>
      <c r="H22" s="22"/>
      <c r="I22" s="54" t="s">
        <v>39</v>
      </c>
      <c r="J22" s="55"/>
      <c r="K22" s="4" t="s">
        <v>33</v>
      </c>
      <c r="L22" s="4" t="s">
        <v>22</v>
      </c>
      <c r="M22" s="21">
        <f t="shared" ref="M22" si="33">O22+P22</f>
        <v>5382</v>
      </c>
      <c r="N22" s="21"/>
      <c r="O22" s="1">
        <f t="shared" ref="O22" si="34">P22*0.15</f>
        <v>702</v>
      </c>
      <c r="P22" s="22">
        <f t="shared" ref="P22" si="35">R22*T22</f>
        <v>4680</v>
      </c>
      <c r="Q22" s="22"/>
      <c r="R22" s="54" t="s">
        <v>39</v>
      </c>
      <c r="S22" s="55" t="s">
        <v>39</v>
      </c>
      <c r="T22" s="4">
        <v>156</v>
      </c>
      <c r="U22" s="4" t="s">
        <v>22</v>
      </c>
      <c r="V22" s="21">
        <f t="shared" ref="V22" si="36">X22+Y22</f>
        <v>5382</v>
      </c>
      <c r="W22" s="21"/>
      <c r="X22" s="1">
        <f t="shared" ref="X22" si="37">Y22*0.15</f>
        <v>702</v>
      </c>
      <c r="Y22" s="22">
        <f t="shared" ref="Y22" si="38">AA22*AC22</f>
        <v>4680</v>
      </c>
      <c r="Z22" s="22"/>
      <c r="AA22" s="60" t="s">
        <v>39</v>
      </c>
      <c r="AB22" s="60" t="s">
        <v>39</v>
      </c>
      <c r="AC22" s="4">
        <v>156</v>
      </c>
      <c r="AD22" s="4" t="s">
        <v>22</v>
      </c>
      <c r="AE22" s="4" t="s">
        <v>21</v>
      </c>
      <c r="AF22" s="4">
        <v>16</v>
      </c>
    </row>
    <row r="23" spans="3:32" ht="57" customHeight="1">
      <c r="D23" s="50">
        <f>SUM(C7,C8,C9,C10,C11,C12,C13,C14,C15,C16,C17,C18,C19,C20,C21,C22)*0.85</f>
        <v>8237363.3449999988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2" t="s">
        <v>3</v>
      </c>
      <c r="AC23" s="52"/>
      <c r="AD23" s="52"/>
      <c r="AE23" s="52"/>
      <c r="AF23" s="53"/>
    </row>
    <row r="24" spans="3:32" ht="57" customHeight="1">
      <c r="D24" s="62">
        <f>D23*0.15</f>
        <v>1235604.5017499998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  <c r="AB24" s="49" t="s">
        <v>6</v>
      </c>
      <c r="AC24" s="19"/>
      <c r="AD24" s="19"/>
      <c r="AE24" s="19"/>
      <c r="AF24" s="20"/>
    </row>
    <row r="25" spans="3:32" ht="57" customHeight="1">
      <c r="D25" s="15">
        <f>D23+D24</f>
        <v>9472967.8467499986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  <c r="AB25" s="18" t="s">
        <v>7</v>
      </c>
      <c r="AC25" s="19"/>
      <c r="AD25" s="19"/>
      <c r="AE25" s="19"/>
      <c r="AF25" s="20"/>
    </row>
    <row r="36" spans="3:32" ht="57" customHeight="1" thickBot="1"/>
    <row r="37" spans="3:32" ht="57" customHeight="1" thickBot="1">
      <c r="D37" s="28" t="s">
        <v>78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30"/>
    </row>
    <row r="38" spans="3:32" ht="57" customHeight="1" thickBot="1">
      <c r="D38" s="31" t="s">
        <v>14</v>
      </c>
      <c r="E38" s="32"/>
      <c r="F38" s="32"/>
      <c r="G38" s="32"/>
      <c r="H38" s="32"/>
      <c r="I38" s="32"/>
      <c r="J38" s="32"/>
      <c r="K38" s="32"/>
      <c r="L38" s="33"/>
      <c r="M38" s="34" t="s">
        <v>13</v>
      </c>
      <c r="N38" s="35"/>
      <c r="O38" s="35"/>
      <c r="P38" s="35"/>
      <c r="Q38" s="35"/>
      <c r="R38" s="35"/>
      <c r="S38" s="35"/>
      <c r="T38" s="35"/>
      <c r="U38" s="37"/>
      <c r="V38" s="38" t="s">
        <v>12</v>
      </c>
      <c r="W38" s="39"/>
      <c r="X38" s="39"/>
      <c r="Y38" s="39"/>
      <c r="Z38" s="39"/>
      <c r="AA38" s="39"/>
      <c r="AB38" s="39"/>
      <c r="AC38" s="39"/>
      <c r="AD38" s="61"/>
      <c r="AE38" s="24" t="s">
        <v>1</v>
      </c>
      <c r="AF38" s="44" t="s">
        <v>0</v>
      </c>
    </row>
    <row r="39" spans="3:32" ht="57" customHeight="1" thickBot="1">
      <c r="C39" s="42" t="s">
        <v>15</v>
      </c>
      <c r="D39" s="28" t="s">
        <v>10</v>
      </c>
      <c r="E39" s="30"/>
      <c r="F39" s="8" t="s">
        <v>11</v>
      </c>
      <c r="G39" s="28" t="s">
        <v>5</v>
      </c>
      <c r="H39" s="30"/>
      <c r="I39" s="24" t="s">
        <v>9</v>
      </c>
      <c r="J39" s="25"/>
      <c r="K39" s="44" t="s">
        <v>2</v>
      </c>
      <c r="L39" s="44" t="s">
        <v>8</v>
      </c>
      <c r="M39" s="28" t="s">
        <v>10</v>
      </c>
      <c r="N39" s="30"/>
      <c r="O39" s="8" t="s">
        <v>11</v>
      </c>
      <c r="P39" s="28" t="s">
        <v>5</v>
      </c>
      <c r="Q39" s="30"/>
      <c r="R39" s="24" t="s">
        <v>9</v>
      </c>
      <c r="S39" s="25"/>
      <c r="T39" s="44" t="s">
        <v>2</v>
      </c>
      <c r="U39" s="44" t="s">
        <v>8</v>
      </c>
      <c r="V39" s="28" t="s">
        <v>10</v>
      </c>
      <c r="W39" s="30"/>
      <c r="X39" s="8" t="s">
        <v>11</v>
      </c>
      <c r="Y39" s="28" t="s">
        <v>5</v>
      </c>
      <c r="Z39" s="30"/>
      <c r="AA39" s="24" t="s">
        <v>9</v>
      </c>
      <c r="AB39" s="25"/>
      <c r="AC39" s="44" t="s">
        <v>2</v>
      </c>
      <c r="AD39" s="44" t="s">
        <v>8</v>
      </c>
      <c r="AE39" s="48"/>
      <c r="AF39" s="45"/>
    </row>
    <row r="40" spans="3:32" ht="57" customHeight="1">
      <c r="C40" s="43"/>
      <c r="D40" s="24" t="s">
        <v>4</v>
      </c>
      <c r="E40" s="25"/>
      <c r="F40" s="9" t="s">
        <v>4</v>
      </c>
      <c r="G40" s="24" t="s">
        <v>4</v>
      </c>
      <c r="H40" s="25"/>
      <c r="I40" s="24" t="s">
        <v>4</v>
      </c>
      <c r="J40" s="25"/>
      <c r="K40" s="45"/>
      <c r="L40" s="45"/>
      <c r="M40" s="24" t="s">
        <v>4</v>
      </c>
      <c r="N40" s="25"/>
      <c r="O40" s="9" t="s">
        <v>4</v>
      </c>
      <c r="P40" s="24" t="s">
        <v>4</v>
      </c>
      <c r="Q40" s="25"/>
      <c r="R40" s="24" t="s">
        <v>4</v>
      </c>
      <c r="S40" s="25"/>
      <c r="T40" s="45"/>
      <c r="U40" s="45"/>
      <c r="V40" s="24" t="s">
        <v>4</v>
      </c>
      <c r="W40" s="25"/>
      <c r="X40" s="9" t="s">
        <v>4</v>
      </c>
      <c r="Y40" s="24" t="s">
        <v>4</v>
      </c>
      <c r="Z40" s="25"/>
      <c r="AA40" s="24" t="s">
        <v>4</v>
      </c>
      <c r="AB40" s="25"/>
      <c r="AC40" s="45"/>
      <c r="AD40" s="45"/>
      <c r="AE40" s="48"/>
      <c r="AF40" s="45"/>
    </row>
    <row r="41" spans="3:32" ht="57" customHeight="1">
      <c r="C41" s="10">
        <f>D41+M41+V41</f>
        <v>64335.600000000006</v>
      </c>
      <c r="D41" s="21">
        <f t="shared" ref="D41" si="39">F41+G41</f>
        <v>21445.200000000001</v>
      </c>
      <c r="E41" s="21"/>
      <c r="F41" s="1">
        <f t="shared" ref="F41:F54" si="40">G41*0.15</f>
        <v>2797.2</v>
      </c>
      <c r="G41" s="65">
        <f>K41*I41</f>
        <v>18648</v>
      </c>
      <c r="H41" s="66"/>
      <c r="I41" s="54">
        <v>28</v>
      </c>
      <c r="J41" s="55"/>
      <c r="K41" s="4" t="s">
        <v>63</v>
      </c>
      <c r="L41" s="4" t="s">
        <v>22</v>
      </c>
      <c r="M41" s="67">
        <f>O41+P41</f>
        <v>21445.200000000001</v>
      </c>
      <c r="N41" s="68"/>
      <c r="O41" s="1">
        <f>P41*0.15</f>
        <v>2797.2</v>
      </c>
      <c r="P41" s="22">
        <f>R41*T41</f>
        <v>18648</v>
      </c>
      <c r="Q41" s="22"/>
      <c r="R41" s="2" t="s">
        <v>64</v>
      </c>
      <c r="S41" s="3" t="s">
        <v>64</v>
      </c>
      <c r="T41" s="4" t="s">
        <v>63</v>
      </c>
      <c r="U41" s="4" t="s">
        <v>22</v>
      </c>
      <c r="V41" s="21">
        <f>X41+Y41</f>
        <v>21445.200000000001</v>
      </c>
      <c r="W41" s="21"/>
      <c r="X41" s="1">
        <f>Y41*0.15</f>
        <v>2797.2</v>
      </c>
      <c r="Y41" s="22">
        <f>AA41*AC41</f>
        <v>18648</v>
      </c>
      <c r="Z41" s="22"/>
      <c r="AA41" s="54" t="s">
        <v>64</v>
      </c>
      <c r="AB41" s="55" t="s">
        <v>64</v>
      </c>
      <c r="AC41" s="4" t="s">
        <v>63</v>
      </c>
      <c r="AD41" s="4" t="s">
        <v>22</v>
      </c>
      <c r="AE41" s="4" t="s">
        <v>50</v>
      </c>
      <c r="AF41" s="4">
        <v>1</v>
      </c>
    </row>
    <row r="42" spans="3:32" ht="57" customHeight="1">
      <c r="C42" s="10">
        <f t="shared" ref="C42:C45" si="41">D42+M42+V42</f>
        <v>5520</v>
      </c>
      <c r="D42" s="21">
        <f t="shared" ref="D42:D54" si="42">F42+G42</f>
        <v>1840</v>
      </c>
      <c r="E42" s="21"/>
      <c r="F42" s="1">
        <f t="shared" si="40"/>
        <v>240</v>
      </c>
      <c r="G42" s="65">
        <f t="shared" ref="G42:G54" si="43">K42*I42</f>
        <v>1600</v>
      </c>
      <c r="H42" s="66"/>
      <c r="I42" s="54" t="s">
        <v>65</v>
      </c>
      <c r="J42" s="55"/>
      <c r="K42" s="4" t="s">
        <v>23</v>
      </c>
      <c r="L42" s="4" t="s">
        <v>22</v>
      </c>
      <c r="M42" s="67">
        <f t="shared" ref="M42:M44" si="44">O42+P42</f>
        <v>1840</v>
      </c>
      <c r="N42" s="68"/>
      <c r="O42" s="1">
        <f>P42*0.15</f>
        <v>240</v>
      </c>
      <c r="P42" s="22">
        <f>R42*T42</f>
        <v>1600</v>
      </c>
      <c r="Q42" s="22"/>
      <c r="R42" s="2" t="s">
        <v>65</v>
      </c>
      <c r="S42" s="3" t="s">
        <v>65</v>
      </c>
      <c r="T42" s="4" t="s">
        <v>23</v>
      </c>
      <c r="U42" s="4" t="s">
        <v>22</v>
      </c>
      <c r="V42" s="21">
        <f t="shared" ref="V42:V45" si="45">X42+Y42</f>
        <v>1840</v>
      </c>
      <c r="W42" s="21"/>
      <c r="X42" s="1">
        <f>Y42*0.15</f>
        <v>240</v>
      </c>
      <c r="Y42" s="22">
        <f>AA42*AC42</f>
        <v>1600</v>
      </c>
      <c r="Z42" s="22"/>
      <c r="AA42" s="54" t="s">
        <v>65</v>
      </c>
      <c r="AB42" s="55" t="s">
        <v>65</v>
      </c>
      <c r="AC42" s="4" t="s">
        <v>23</v>
      </c>
      <c r="AD42" s="4" t="s">
        <v>22</v>
      </c>
      <c r="AE42" s="4" t="s">
        <v>51</v>
      </c>
      <c r="AF42" s="4">
        <v>2</v>
      </c>
    </row>
    <row r="43" spans="3:32" ht="57" customHeight="1">
      <c r="C43" s="10">
        <f t="shared" si="41"/>
        <v>20700</v>
      </c>
      <c r="D43" s="21">
        <f t="shared" si="42"/>
        <v>6900</v>
      </c>
      <c r="E43" s="21"/>
      <c r="F43" s="1">
        <f t="shared" si="40"/>
        <v>900</v>
      </c>
      <c r="G43" s="65">
        <f t="shared" si="43"/>
        <v>6000</v>
      </c>
      <c r="H43" s="66"/>
      <c r="I43" s="2" t="s">
        <v>67</v>
      </c>
      <c r="J43" s="3" t="s">
        <v>67</v>
      </c>
      <c r="K43" s="4" t="s">
        <v>66</v>
      </c>
      <c r="L43" s="4" t="s">
        <v>22</v>
      </c>
      <c r="M43" s="21">
        <f t="shared" si="44"/>
        <v>6900</v>
      </c>
      <c r="N43" s="21"/>
      <c r="O43" s="1">
        <f t="shared" ref="O43:O44" si="46">P43*0.15</f>
        <v>900</v>
      </c>
      <c r="P43" s="22">
        <f t="shared" ref="P43:P45" si="47">R43*T43</f>
        <v>6000</v>
      </c>
      <c r="Q43" s="22"/>
      <c r="R43" s="2" t="s">
        <v>67</v>
      </c>
      <c r="S43" s="3" t="s">
        <v>67</v>
      </c>
      <c r="T43" s="4" t="s">
        <v>66</v>
      </c>
      <c r="U43" s="4" t="s">
        <v>22</v>
      </c>
      <c r="V43" s="21">
        <f t="shared" si="45"/>
        <v>6900</v>
      </c>
      <c r="W43" s="21"/>
      <c r="X43" s="1">
        <f t="shared" ref="X43:X45" si="48">Y43*0.15</f>
        <v>900</v>
      </c>
      <c r="Y43" s="22">
        <f t="shared" ref="Y43:Y45" si="49">AA43*AC43</f>
        <v>6000</v>
      </c>
      <c r="Z43" s="22"/>
      <c r="AA43" s="54" t="s">
        <v>67</v>
      </c>
      <c r="AB43" s="55" t="s">
        <v>67</v>
      </c>
      <c r="AC43" s="4" t="s">
        <v>66</v>
      </c>
      <c r="AD43" s="4" t="s">
        <v>22</v>
      </c>
      <c r="AE43" s="4" t="s">
        <v>52</v>
      </c>
      <c r="AF43" s="4">
        <v>3</v>
      </c>
    </row>
    <row r="44" spans="3:32" ht="57" customHeight="1">
      <c r="C44" s="10">
        <f t="shared" si="41"/>
        <v>207</v>
      </c>
      <c r="D44" s="21">
        <f t="shared" si="42"/>
        <v>69</v>
      </c>
      <c r="E44" s="21"/>
      <c r="F44" s="1">
        <f t="shared" si="40"/>
        <v>9</v>
      </c>
      <c r="G44" s="65">
        <f t="shared" si="43"/>
        <v>60</v>
      </c>
      <c r="H44" s="66"/>
      <c r="I44" s="2" t="s">
        <v>39</v>
      </c>
      <c r="J44" s="3" t="s">
        <v>39</v>
      </c>
      <c r="K44" s="4" t="s">
        <v>68</v>
      </c>
      <c r="L44" s="4" t="s">
        <v>22</v>
      </c>
      <c r="M44" s="21">
        <f t="shared" si="44"/>
        <v>69</v>
      </c>
      <c r="N44" s="21"/>
      <c r="O44" s="1">
        <f t="shared" si="46"/>
        <v>9</v>
      </c>
      <c r="P44" s="22">
        <f t="shared" si="47"/>
        <v>60</v>
      </c>
      <c r="Q44" s="22"/>
      <c r="R44" s="2" t="s">
        <v>39</v>
      </c>
      <c r="S44" s="3" t="s">
        <v>39</v>
      </c>
      <c r="T44" s="4" t="s">
        <v>68</v>
      </c>
      <c r="U44" s="4" t="s">
        <v>22</v>
      </c>
      <c r="V44" s="21">
        <f t="shared" si="45"/>
        <v>69</v>
      </c>
      <c r="W44" s="21"/>
      <c r="X44" s="1">
        <f t="shared" si="48"/>
        <v>9</v>
      </c>
      <c r="Y44" s="22">
        <f t="shared" si="49"/>
        <v>60</v>
      </c>
      <c r="Z44" s="22"/>
      <c r="AA44" s="54" t="s">
        <v>39</v>
      </c>
      <c r="AB44" s="55" t="s">
        <v>39</v>
      </c>
      <c r="AC44" s="4" t="s">
        <v>68</v>
      </c>
      <c r="AD44" s="4" t="s">
        <v>22</v>
      </c>
      <c r="AE44" s="4" t="s">
        <v>53</v>
      </c>
      <c r="AF44" s="4">
        <v>4</v>
      </c>
    </row>
    <row r="45" spans="3:32" ht="57" customHeight="1">
      <c r="C45" s="10">
        <f t="shared" si="41"/>
        <v>8280</v>
      </c>
      <c r="D45" s="21">
        <f t="shared" si="42"/>
        <v>2760</v>
      </c>
      <c r="E45" s="21"/>
      <c r="F45" s="1">
        <f t="shared" si="40"/>
        <v>360</v>
      </c>
      <c r="G45" s="65">
        <f t="shared" si="43"/>
        <v>2400</v>
      </c>
      <c r="H45" s="66"/>
      <c r="I45" s="54" t="s">
        <v>65</v>
      </c>
      <c r="J45" s="55" t="s">
        <v>65</v>
      </c>
      <c r="K45" s="4" t="s">
        <v>69</v>
      </c>
      <c r="L45" s="4" t="s">
        <v>22</v>
      </c>
      <c r="M45" s="21">
        <f>O45+P45</f>
        <v>2760</v>
      </c>
      <c r="N45" s="21"/>
      <c r="O45" s="1">
        <f>P45*0.15</f>
        <v>360</v>
      </c>
      <c r="P45" s="22">
        <f t="shared" si="47"/>
        <v>2400</v>
      </c>
      <c r="Q45" s="22"/>
      <c r="R45" s="54" t="s">
        <v>65</v>
      </c>
      <c r="S45" s="55" t="s">
        <v>65</v>
      </c>
      <c r="T45" s="4" t="s">
        <v>69</v>
      </c>
      <c r="U45" s="4" t="s">
        <v>22</v>
      </c>
      <c r="V45" s="21">
        <f t="shared" si="45"/>
        <v>2760</v>
      </c>
      <c r="W45" s="21"/>
      <c r="X45" s="1">
        <f t="shared" si="48"/>
        <v>360</v>
      </c>
      <c r="Y45" s="22">
        <f t="shared" si="49"/>
        <v>2400</v>
      </c>
      <c r="Z45" s="22"/>
      <c r="AA45" s="54" t="s">
        <v>65</v>
      </c>
      <c r="AB45" s="55" t="s">
        <v>65</v>
      </c>
      <c r="AC45" s="4" t="s">
        <v>69</v>
      </c>
      <c r="AD45" s="4" t="s">
        <v>22</v>
      </c>
      <c r="AE45" s="4" t="s">
        <v>54</v>
      </c>
      <c r="AF45" s="4">
        <v>5</v>
      </c>
    </row>
    <row r="46" spans="3:32" ht="57" customHeight="1">
      <c r="C46" s="10">
        <f>D46+M46+V46</f>
        <v>3149.8500000000004</v>
      </c>
      <c r="D46" s="21">
        <f t="shared" si="42"/>
        <v>1049.95</v>
      </c>
      <c r="E46" s="21"/>
      <c r="F46" s="1">
        <f t="shared" si="40"/>
        <v>136.94999999999999</v>
      </c>
      <c r="G46" s="65">
        <f t="shared" si="43"/>
        <v>913</v>
      </c>
      <c r="H46" s="66"/>
      <c r="I46" s="54" t="s">
        <v>36</v>
      </c>
      <c r="J46" s="55" t="s">
        <v>36</v>
      </c>
      <c r="K46" s="4" t="s">
        <v>70</v>
      </c>
      <c r="L46" s="4" t="s">
        <v>22</v>
      </c>
      <c r="M46" s="21">
        <f>O46+P46</f>
        <v>1049.95</v>
      </c>
      <c r="N46" s="21"/>
      <c r="O46" s="1">
        <f>P46*0.15</f>
        <v>136.94999999999999</v>
      </c>
      <c r="P46" s="22">
        <f>R46*T46</f>
        <v>913</v>
      </c>
      <c r="Q46" s="22"/>
      <c r="R46" s="54" t="s">
        <v>36</v>
      </c>
      <c r="S46" s="55" t="s">
        <v>36</v>
      </c>
      <c r="T46" s="4" t="s">
        <v>70</v>
      </c>
      <c r="U46" s="4" t="s">
        <v>22</v>
      </c>
      <c r="V46" s="21">
        <f>X46+Y46</f>
        <v>1049.95</v>
      </c>
      <c r="W46" s="21"/>
      <c r="X46" s="1">
        <f>Y46*0.15</f>
        <v>136.94999999999999</v>
      </c>
      <c r="Y46" s="22">
        <f>AA46*AC46</f>
        <v>913</v>
      </c>
      <c r="Z46" s="22"/>
      <c r="AA46" s="54" t="s">
        <v>36</v>
      </c>
      <c r="AB46" s="55" t="s">
        <v>36</v>
      </c>
      <c r="AC46" s="4" t="s">
        <v>70</v>
      </c>
      <c r="AD46" s="4" t="s">
        <v>22</v>
      </c>
      <c r="AE46" s="4" t="s">
        <v>55</v>
      </c>
      <c r="AF46" s="4">
        <v>6</v>
      </c>
    </row>
    <row r="47" spans="3:32" ht="57" customHeight="1">
      <c r="C47" s="10">
        <f t="shared" ref="C47:C50" si="50">D47+M47+V47</f>
        <v>241.5</v>
      </c>
      <c r="D47" s="21">
        <f t="shared" si="42"/>
        <v>80.5</v>
      </c>
      <c r="E47" s="21"/>
      <c r="F47" s="1">
        <f t="shared" si="40"/>
        <v>10.5</v>
      </c>
      <c r="G47" s="65">
        <f t="shared" si="43"/>
        <v>70</v>
      </c>
      <c r="H47" s="66"/>
      <c r="I47" s="54">
        <v>10</v>
      </c>
      <c r="J47" s="55">
        <v>10</v>
      </c>
      <c r="K47" s="4" t="s">
        <v>71</v>
      </c>
      <c r="L47" s="4" t="s">
        <v>22</v>
      </c>
      <c r="M47" s="21">
        <f t="shared" ref="M47" si="51">O47+P47</f>
        <v>80.5</v>
      </c>
      <c r="N47" s="21"/>
      <c r="O47" s="1">
        <f>P47*0.15</f>
        <v>10.5</v>
      </c>
      <c r="P47" s="22">
        <f>R47*T47</f>
        <v>70</v>
      </c>
      <c r="Q47" s="22"/>
      <c r="R47" s="54">
        <v>10</v>
      </c>
      <c r="S47" s="55">
        <v>10</v>
      </c>
      <c r="T47" s="4" t="s">
        <v>71</v>
      </c>
      <c r="U47" s="4" t="s">
        <v>22</v>
      </c>
      <c r="V47" s="21">
        <f t="shared" ref="V47:V50" si="52">X47+Y47</f>
        <v>80.5</v>
      </c>
      <c r="W47" s="21"/>
      <c r="X47" s="1">
        <f>Y47*0.15</f>
        <v>10.5</v>
      </c>
      <c r="Y47" s="22">
        <f>AA47*AC47</f>
        <v>70</v>
      </c>
      <c r="Z47" s="22"/>
      <c r="AA47" s="54">
        <v>10</v>
      </c>
      <c r="AB47" s="55">
        <v>10</v>
      </c>
      <c r="AC47" s="4" t="s">
        <v>71</v>
      </c>
      <c r="AD47" s="4" t="s">
        <v>22</v>
      </c>
      <c r="AE47" s="4" t="s">
        <v>56</v>
      </c>
      <c r="AF47" s="4">
        <v>7</v>
      </c>
    </row>
    <row r="48" spans="3:32" ht="57" customHeight="1">
      <c r="C48" s="10">
        <f t="shared" si="50"/>
        <v>35707.5</v>
      </c>
      <c r="D48" s="21">
        <f t="shared" si="42"/>
        <v>11902.5</v>
      </c>
      <c r="E48" s="21"/>
      <c r="F48" s="1">
        <f t="shared" si="40"/>
        <v>1552.5</v>
      </c>
      <c r="G48" s="65">
        <f t="shared" si="43"/>
        <v>10350</v>
      </c>
      <c r="H48" s="66"/>
      <c r="I48" s="54">
        <v>11.5</v>
      </c>
      <c r="J48" s="55">
        <v>11.5</v>
      </c>
      <c r="K48" s="4" t="s">
        <v>72</v>
      </c>
      <c r="L48" s="4" t="s">
        <v>22</v>
      </c>
      <c r="M48" s="21">
        <f>O48+P48</f>
        <v>11902.5</v>
      </c>
      <c r="N48" s="21"/>
      <c r="O48" s="1">
        <f t="shared" ref="O48:O50" si="53">P48*0.15</f>
        <v>1552.5</v>
      </c>
      <c r="P48" s="22">
        <f t="shared" ref="P48:P50" si="54">R48*T48</f>
        <v>10350</v>
      </c>
      <c r="Q48" s="22"/>
      <c r="R48" s="54">
        <v>11.5</v>
      </c>
      <c r="S48" s="55">
        <v>11.5</v>
      </c>
      <c r="T48" s="4" t="s">
        <v>72</v>
      </c>
      <c r="U48" s="4" t="s">
        <v>22</v>
      </c>
      <c r="V48" s="21">
        <f t="shared" si="52"/>
        <v>11902.5</v>
      </c>
      <c r="W48" s="21"/>
      <c r="X48" s="1">
        <f t="shared" ref="X48:X50" si="55">Y48*0.15</f>
        <v>1552.5</v>
      </c>
      <c r="Y48" s="22">
        <f t="shared" ref="Y48:Y50" si="56">AA48*AC48</f>
        <v>10350</v>
      </c>
      <c r="Z48" s="22"/>
      <c r="AA48" s="54">
        <v>11.5</v>
      </c>
      <c r="AB48" s="55">
        <v>11.5</v>
      </c>
      <c r="AC48" s="4" t="s">
        <v>72</v>
      </c>
      <c r="AD48" s="4" t="s">
        <v>22</v>
      </c>
      <c r="AE48" s="4" t="s">
        <v>57</v>
      </c>
      <c r="AF48" s="4">
        <v>8</v>
      </c>
    </row>
    <row r="49" spans="3:32" ht="57" customHeight="1">
      <c r="C49" s="10">
        <f t="shared" si="50"/>
        <v>483</v>
      </c>
      <c r="D49" s="21">
        <f t="shared" si="42"/>
        <v>161</v>
      </c>
      <c r="E49" s="21"/>
      <c r="F49" s="1">
        <f t="shared" si="40"/>
        <v>21</v>
      </c>
      <c r="G49" s="65">
        <f t="shared" si="43"/>
        <v>140</v>
      </c>
      <c r="H49" s="66"/>
      <c r="I49" s="54">
        <v>35</v>
      </c>
      <c r="J49" s="55">
        <v>35</v>
      </c>
      <c r="K49" s="4" t="s">
        <v>73</v>
      </c>
      <c r="L49" s="4" t="s">
        <v>22</v>
      </c>
      <c r="M49" s="21">
        <f t="shared" ref="M49:M50" si="57">O49+P49</f>
        <v>161</v>
      </c>
      <c r="N49" s="21"/>
      <c r="O49" s="1">
        <f t="shared" si="53"/>
        <v>21</v>
      </c>
      <c r="P49" s="22">
        <f t="shared" si="54"/>
        <v>140</v>
      </c>
      <c r="Q49" s="22"/>
      <c r="R49" s="54">
        <v>35</v>
      </c>
      <c r="S49" s="55">
        <v>35</v>
      </c>
      <c r="T49" s="4" t="s">
        <v>73</v>
      </c>
      <c r="U49" s="4" t="s">
        <v>22</v>
      </c>
      <c r="V49" s="21">
        <f t="shared" si="52"/>
        <v>161</v>
      </c>
      <c r="W49" s="21"/>
      <c r="X49" s="1">
        <f t="shared" si="55"/>
        <v>21</v>
      </c>
      <c r="Y49" s="22">
        <f t="shared" si="56"/>
        <v>140</v>
      </c>
      <c r="Z49" s="22"/>
      <c r="AA49" s="54">
        <v>35</v>
      </c>
      <c r="AB49" s="55">
        <v>35</v>
      </c>
      <c r="AC49" s="4" t="s">
        <v>73</v>
      </c>
      <c r="AD49" s="4" t="s">
        <v>22</v>
      </c>
      <c r="AE49" s="4" t="s">
        <v>58</v>
      </c>
      <c r="AF49" s="4">
        <v>9</v>
      </c>
    </row>
    <row r="50" spans="3:32" ht="57" customHeight="1">
      <c r="C50" s="10">
        <f t="shared" si="50"/>
        <v>872.84999999999991</v>
      </c>
      <c r="D50" s="21">
        <f t="shared" si="42"/>
        <v>290.95</v>
      </c>
      <c r="E50" s="21"/>
      <c r="F50" s="1">
        <f t="shared" si="40"/>
        <v>37.949999999999996</v>
      </c>
      <c r="G50" s="65">
        <f t="shared" si="43"/>
        <v>253</v>
      </c>
      <c r="H50" s="66"/>
      <c r="I50" s="54">
        <v>11.5</v>
      </c>
      <c r="J50" s="55">
        <v>11.5</v>
      </c>
      <c r="K50" s="4" t="s">
        <v>38</v>
      </c>
      <c r="L50" s="4" t="s">
        <v>22</v>
      </c>
      <c r="M50" s="21">
        <f t="shared" si="57"/>
        <v>290.95</v>
      </c>
      <c r="N50" s="21"/>
      <c r="O50" s="1">
        <f t="shared" si="53"/>
        <v>37.949999999999996</v>
      </c>
      <c r="P50" s="22">
        <f t="shared" si="54"/>
        <v>253</v>
      </c>
      <c r="Q50" s="22"/>
      <c r="R50" s="54">
        <v>11.5</v>
      </c>
      <c r="S50" s="55">
        <v>11.5</v>
      </c>
      <c r="T50" s="4" t="s">
        <v>38</v>
      </c>
      <c r="U50" s="4" t="s">
        <v>22</v>
      </c>
      <c r="V50" s="21">
        <f t="shared" si="52"/>
        <v>290.95</v>
      </c>
      <c r="W50" s="21"/>
      <c r="X50" s="1">
        <f t="shared" si="55"/>
        <v>37.949999999999996</v>
      </c>
      <c r="Y50" s="22">
        <f t="shared" si="56"/>
        <v>253</v>
      </c>
      <c r="Z50" s="22"/>
      <c r="AA50" s="54">
        <v>11.5</v>
      </c>
      <c r="AB50" s="55">
        <v>11.5</v>
      </c>
      <c r="AC50" s="4" t="s">
        <v>38</v>
      </c>
      <c r="AD50" s="4" t="s">
        <v>22</v>
      </c>
      <c r="AE50" s="4" t="s">
        <v>59</v>
      </c>
      <c r="AF50" s="4">
        <v>10</v>
      </c>
    </row>
    <row r="51" spans="3:32" ht="57" customHeight="1">
      <c r="C51" s="10">
        <f>D51+M51+V51</f>
        <v>16542.75</v>
      </c>
      <c r="D51" s="21">
        <f t="shared" si="42"/>
        <v>5514.25</v>
      </c>
      <c r="E51" s="21"/>
      <c r="F51" s="1">
        <f t="shared" si="40"/>
        <v>719.25</v>
      </c>
      <c r="G51" s="65">
        <f t="shared" si="43"/>
        <v>4795</v>
      </c>
      <c r="H51" s="66"/>
      <c r="I51" s="54">
        <v>35</v>
      </c>
      <c r="J51" s="55">
        <v>35</v>
      </c>
      <c r="K51" s="4" t="s">
        <v>74</v>
      </c>
      <c r="L51" s="4" t="s">
        <v>22</v>
      </c>
      <c r="M51" s="21">
        <f>O51+P51</f>
        <v>5514.25</v>
      </c>
      <c r="N51" s="21"/>
      <c r="O51" s="1">
        <f>P51*0.15</f>
        <v>719.25</v>
      </c>
      <c r="P51" s="22">
        <f>R51*T51</f>
        <v>4795</v>
      </c>
      <c r="Q51" s="22"/>
      <c r="R51" s="54">
        <v>35</v>
      </c>
      <c r="S51" s="55">
        <v>35</v>
      </c>
      <c r="T51" s="4" t="s">
        <v>74</v>
      </c>
      <c r="U51" s="4" t="s">
        <v>22</v>
      </c>
      <c r="V51" s="21">
        <f>X51+Y51</f>
        <v>5514.25</v>
      </c>
      <c r="W51" s="21"/>
      <c r="X51" s="1">
        <f>Y51*0.15</f>
        <v>719.25</v>
      </c>
      <c r="Y51" s="22">
        <f>AA51*AC51</f>
        <v>4795</v>
      </c>
      <c r="Z51" s="22"/>
      <c r="AA51" s="54">
        <v>35</v>
      </c>
      <c r="AB51" s="55">
        <v>35</v>
      </c>
      <c r="AC51" s="4" t="s">
        <v>74</v>
      </c>
      <c r="AD51" s="4" t="s">
        <v>22</v>
      </c>
      <c r="AE51" s="4" t="s">
        <v>60</v>
      </c>
      <c r="AF51" s="4">
        <v>11</v>
      </c>
    </row>
    <row r="52" spans="3:32" ht="57" customHeight="1">
      <c r="C52" s="10">
        <f t="shared" ref="C52:C54" si="58">D52+M52+V52</f>
        <v>15393.900000000001</v>
      </c>
      <c r="D52" s="21">
        <f t="shared" si="42"/>
        <v>5131.3</v>
      </c>
      <c r="E52" s="21"/>
      <c r="F52" s="1">
        <f t="shared" si="40"/>
        <v>669.3</v>
      </c>
      <c r="G52" s="65">
        <f t="shared" si="43"/>
        <v>4462</v>
      </c>
      <c r="H52" s="66"/>
      <c r="I52" s="54">
        <v>23</v>
      </c>
      <c r="J52" s="55">
        <v>23</v>
      </c>
      <c r="K52" s="4" t="s">
        <v>75</v>
      </c>
      <c r="L52" s="4" t="s">
        <v>22</v>
      </c>
      <c r="M52" s="21">
        <f t="shared" ref="M52:M54" si="59">O52+P52</f>
        <v>5131.3</v>
      </c>
      <c r="N52" s="21"/>
      <c r="O52" s="1">
        <f>P52*0.15</f>
        <v>669.3</v>
      </c>
      <c r="P52" s="22">
        <f>R52*T52</f>
        <v>4462</v>
      </c>
      <c r="Q52" s="22"/>
      <c r="R52" s="54">
        <v>23</v>
      </c>
      <c r="S52" s="55">
        <v>23</v>
      </c>
      <c r="T52" s="4" t="s">
        <v>75</v>
      </c>
      <c r="U52" s="4" t="s">
        <v>22</v>
      </c>
      <c r="V52" s="21">
        <f t="shared" ref="V52:V54" si="60">X52+Y52</f>
        <v>5131.3</v>
      </c>
      <c r="W52" s="21"/>
      <c r="X52" s="1">
        <f>Y52*0.15</f>
        <v>669.3</v>
      </c>
      <c r="Y52" s="22">
        <f>AA52*AC52</f>
        <v>4462</v>
      </c>
      <c r="Z52" s="22"/>
      <c r="AA52" s="54">
        <v>23</v>
      </c>
      <c r="AB52" s="55">
        <v>23</v>
      </c>
      <c r="AC52" s="4" t="s">
        <v>75</v>
      </c>
      <c r="AD52" s="4" t="s">
        <v>22</v>
      </c>
      <c r="AE52" s="4" t="s">
        <v>61</v>
      </c>
      <c r="AF52" s="4">
        <v>12</v>
      </c>
    </row>
    <row r="53" spans="3:32" ht="57" customHeight="1">
      <c r="C53" s="10">
        <f t="shared" si="58"/>
        <v>2846.25</v>
      </c>
      <c r="D53" s="21">
        <f t="shared" si="42"/>
        <v>948.75</v>
      </c>
      <c r="E53" s="21"/>
      <c r="F53" s="1">
        <f t="shared" si="40"/>
        <v>123.75</v>
      </c>
      <c r="G53" s="65">
        <f t="shared" si="43"/>
        <v>825</v>
      </c>
      <c r="H53" s="66"/>
      <c r="I53" s="54">
        <v>25</v>
      </c>
      <c r="J53" s="55">
        <v>25</v>
      </c>
      <c r="K53" s="4" t="s">
        <v>76</v>
      </c>
      <c r="L53" s="4" t="s">
        <v>22</v>
      </c>
      <c r="M53" s="21">
        <f t="shared" si="59"/>
        <v>948.75</v>
      </c>
      <c r="N53" s="21"/>
      <c r="O53" s="1">
        <f t="shared" ref="O53:O54" si="61">P53*0.15</f>
        <v>123.75</v>
      </c>
      <c r="P53" s="22">
        <f t="shared" ref="P53:P54" si="62">R53*T53</f>
        <v>825</v>
      </c>
      <c r="Q53" s="22"/>
      <c r="R53" s="54">
        <v>25</v>
      </c>
      <c r="S53" s="55">
        <v>25</v>
      </c>
      <c r="T53" s="4" t="s">
        <v>76</v>
      </c>
      <c r="U53" s="4" t="s">
        <v>22</v>
      </c>
      <c r="V53" s="21">
        <f t="shared" si="60"/>
        <v>948.75</v>
      </c>
      <c r="W53" s="21"/>
      <c r="X53" s="1">
        <f t="shared" ref="X53:X54" si="63">Y53*0.15</f>
        <v>123.75</v>
      </c>
      <c r="Y53" s="22">
        <f t="shared" ref="Y53:Y54" si="64">AA53*AC53</f>
        <v>825</v>
      </c>
      <c r="Z53" s="22"/>
      <c r="AA53" s="54">
        <v>25</v>
      </c>
      <c r="AB53" s="55">
        <v>25</v>
      </c>
      <c r="AC53" s="4" t="s">
        <v>76</v>
      </c>
      <c r="AD53" s="4" t="s">
        <v>22</v>
      </c>
      <c r="AE53" s="4" t="s">
        <v>62</v>
      </c>
      <c r="AF53" s="4">
        <v>13</v>
      </c>
    </row>
    <row r="54" spans="3:32" ht="57" customHeight="1">
      <c r="C54" s="10">
        <f t="shared" si="58"/>
        <v>3372.375</v>
      </c>
      <c r="D54" s="21">
        <f t="shared" si="42"/>
        <v>1124.125</v>
      </c>
      <c r="E54" s="21"/>
      <c r="F54" s="1">
        <f t="shared" si="40"/>
        <v>146.625</v>
      </c>
      <c r="G54" s="65">
        <f t="shared" si="43"/>
        <v>977.5</v>
      </c>
      <c r="H54" s="66"/>
      <c r="I54" s="54">
        <v>11.5</v>
      </c>
      <c r="J54" s="55">
        <v>11.5</v>
      </c>
      <c r="K54" s="4" t="s">
        <v>77</v>
      </c>
      <c r="L54" s="4" t="s">
        <v>22</v>
      </c>
      <c r="M54" s="21">
        <f t="shared" si="59"/>
        <v>1124.125</v>
      </c>
      <c r="N54" s="21"/>
      <c r="O54" s="1">
        <f t="shared" si="61"/>
        <v>146.625</v>
      </c>
      <c r="P54" s="22">
        <f t="shared" si="62"/>
        <v>977.5</v>
      </c>
      <c r="Q54" s="22"/>
      <c r="R54" s="54">
        <v>11.5</v>
      </c>
      <c r="S54" s="55">
        <v>11.5</v>
      </c>
      <c r="T54" s="4" t="s">
        <v>77</v>
      </c>
      <c r="U54" s="4" t="s">
        <v>22</v>
      </c>
      <c r="V54" s="21">
        <f t="shared" si="60"/>
        <v>1124.125</v>
      </c>
      <c r="W54" s="21"/>
      <c r="X54" s="1">
        <f t="shared" si="63"/>
        <v>146.625</v>
      </c>
      <c r="Y54" s="22">
        <f t="shared" si="64"/>
        <v>977.5</v>
      </c>
      <c r="Z54" s="22"/>
      <c r="AA54" s="54">
        <v>11.5</v>
      </c>
      <c r="AB54" s="55">
        <v>11.5</v>
      </c>
      <c r="AC54" s="4" t="s">
        <v>77</v>
      </c>
      <c r="AD54" s="4" t="s">
        <v>22</v>
      </c>
      <c r="AE54" s="4" t="s">
        <v>59</v>
      </c>
      <c r="AF54" s="4">
        <v>14</v>
      </c>
    </row>
    <row r="55" spans="3:32" ht="57" customHeight="1">
      <c r="D55" s="50">
        <f>SUM(C41,C42,C43,C44,C45,C46,C47,C48,C49,C50,C51,C52,C53,C54,)*0.85</f>
        <v>151004.68875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2" t="s">
        <v>3</v>
      </c>
      <c r="AC55" s="52"/>
      <c r="AD55" s="52"/>
      <c r="AE55" s="52"/>
      <c r="AF55" s="53"/>
    </row>
    <row r="56" spans="3:32" ht="57" customHeight="1">
      <c r="D56" s="62">
        <f>D55*0.15</f>
        <v>22650.703312499998</v>
      </c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4"/>
      <c r="AB56" s="49" t="s">
        <v>6</v>
      </c>
      <c r="AC56" s="19"/>
      <c r="AD56" s="19"/>
      <c r="AE56" s="19"/>
      <c r="AF56" s="20"/>
    </row>
    <row r="57" spans="3:32" ht="57" customHeight="1">
      <c r="D57" s="15">
        <f>D55+D56</f>
        <v>173655.3920625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7"/>
      <c r="AB57" s="18" t="s">
        <v>7</v>
      </c>
      <c r="AC57" s="19"/>
      <c r="AD57" s="19"/>
      <c r="AE57" s="19"/>
      <c r="AF57" s="20"/>
    </row>
    <row r="60" spans="3:32" ht="57" customHeight="1" thickBot="1"/>
    <row r="61" spans="3:32" ht="57" customHeight="1" thickBot="1">
      <c r="D61" s="28" t="s">
        <v>173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6"/>
      <c r="AF61" s="30"/>
    </row>
    <row r="62" spans="3:32" ht="57" customHeight="1" thickBot="1">
      <c r="D62" s="31" t="s">
        <v>14</v>
      </c>
      <c r="E62" s="32"/>
      <c r="F62" s="32"/>
      <c r="G62" s="32"/>
      <c r="H62" s="32"/>
      <c r="I62" s="32"/>
      <c r="J62" s="32"/>
      <c r="K62" s="32"/>
      <c r="L62" s="33"/>
      <c r="M62" s="34" t="s">
        <v>13</v>
      </c>
      <c r="N62" s="35"/>
      <c r="O62" s="35"/>
      <c r="P62" s="35"/>
      <c r="Q62" s="35"/>
      <c r="R62" s="35"/>
      <c r="S62" s="35"/>
      <c r="T62" s="36"/>
      <c r="U62" s="37"/>
      <c r="V62" s="38" t="s">
        <v>12</v>
      </c>
      <c r="W62" s="39"/>
      <c r="X62" s="39"/>
      <c r="Y62" s="39"/>
      <c r="Z62" s="39"/>
      <c r="AA62" s="39"/>
      <c r="AB62" s="39"/>
      <c r="AC62" s="39"/>
      <c r="AD62" s="39"/>
      <c r="AE62" s="40" t="s">
        <v>1</v>
      </c>
      <c r="AF62" s="25" t="s">
        <v>0</v>
      </c>
    </row>
    <row r="63" spans="3:32" ht="57" customHeight="1" thickBot="1">
      <c r="C63" s="42" t="s">
        <v>15</v>
      </c>
      <c r="D63" s="28" t="s">
        <v>10</v>
      </c>
      <c r="E63" s="30"/>
      <c r="F63" s="8" t="s">
        <v>11</v>
      </c>
      <c r="G63" s="28" t="s">
        <v>5</v>
      </c>
      <c r="H63" s="30"/>
      <c r="I63" s="24" t="s">
        <v>9</v>
      </c>
      <c r="J63" s="25"/>
      <c r="K63" s="44" t="s">
        <v>2</v>
      </c>
      <c r="L63" s="44" t="s">
        <v>8</v>
      </c>
      <c r="M63" s="28" t="s">
        <v>10</v>
      </c>
      <c r="N63" s="30"/>
      <c r="O63" s="8" t="s">
        <v>11</v>
      </c>
      <c r="P63" s="28" t="s">
        <v>5</v>
      </c>
      <c r="Q63" s="30"/>
      <c r="R63" s="24" t="s">
        <v>9</v>
      </c>
      <c r="S63" s="26"/>
      <c r="T63" s="40" t="s">
        <v>2</v>
      </c>
      <c r="U63" s="25" t="s">
        <v>8</v>
      </c>
      <c r="V63" s="28" t="s">
        <v>10</v>
      </c>
      <c r="W63" s="30"/>
      <c r="X63" s="8" t="s">
        <v>11</v>
      </c>
      <c r="Y63" s="28" t="s">
        <v>5</v>
      </c>
      <c r="Z63" s="30"/>
      <c r="AA63" s="24" t="s">
        <v>9</v>
      </c>
      <c r="AB63" s="25"/>
      <c r="AC63" s="46" t="s">
        <v>2</v>
      </c>
      <c r="AD63" s="24" t="s">
        <v>8</v>
      </c>
      <c r="AE63" s="40"/>
      <c r="AF63" s="41"/>
    </row>
    <row r="64" spans="3:32" ht="57" customHeight="1">
      <c r="C64" s="43"/>
      <c r="D64" s="24" t="s">
        <v>4</v>
      </c>
      <c r="E64" s="25"/>
      <c r="F64" s="9" t="s">
        <v>4</v>
      </c>
      <c r="G64" s="24" t="s">
        <v>4</v>
      </c>
      <c r="H64" s="25"/>
      <c r="I64" s="24" t="s">
        <v>4</v>
      </c>
      <c r="J64" s="25"/>
      <c r="K64" s="45"/>
      <c r="L64" s="45"/>
      <c r="M64" s="24" t="s">
        <v>4</v>
      </c>
      <c r="N64" s="25"/>
      <c r="O64" s="9" t="s">
        <v>4</v>
      </c>
      <c r="P64" s="24" t="s">
        <v>4</v>
      </c>
      <c r="Q64" s="25"/>
      <c r="R64" s="24" t="s">
        <v>4</v>
      </c>
      <c r="S64" s="26"/>
      <c r="T64" s="40"/>
      <c r="U64" s="41"/>
      <c r="V64" s="24" t="s">
        <v>4</v>
      </c>
      <c r="W64" s="25"/>
      <c r="X64" s="9" t="s">
        <v>4</v>
      </c>
      <c r="Y64" s="24" t="s">
        <v>4</v>
      </c>
      <c r="Z64" s="25"/>
      <c r="AA64" s="24" t="s">
        <v>4</v>
      </c>
      <c r="AB64" s="25"/>
      <c r="AC64" s="69"/>
      <c r="AD64" s="48"/>
      <c r="AE64" s="40"/>
      <c r="AF64" s="41"/>
    </row>
    <row r="65" spans="3:32" ht="57" customHeight="1">
      <c r="C65" s="10">
        <f>D65+M65+V65</f>
        <v>517155</v>
      </c>
      <c r="D65" s="21">
        <f>F65+G65</f>
        <v>175832.7</v>
      </c>
      <c r="E65" s="21"/>
      <c r="F65" s="1">
        <f>G65*0.15</f>
        <v>22934.7</v>
      </c>
      <c r="G65" s="22">
        <f>I65*K65</f>
        <v>152898</v>
      </c>
      <c r="H65" s="22"/>
      <c r="I65" s="54">
        <v>34</v>
      </c>
      <c r="J65" s="55">
        <v>34</v>
      </c>
      <c r="K65" s="4" t="s">
        <v>136</v>
      </c>
      <c r="L65" s="5" t="s">
        <v>135</v>
      </c>
      <c r="M65" s="21">
        <f>O65+P65</f>
        <v>170661.15</v>
      </c>
      <c r="N65" s="21"/>
      <c r="O65" s="1">
        <f>P65*0.15</f>
        <v>22260.149999999998</v>
      </c>
      <c r="P65" s="22">
        <f>R65*T65</f>
        <v>148401</v>
      </c>
      <c r="Q65" s="22"/>
      <c r="R65" s="54">
        <v>33</v>
      </c>
      <c r="S65" s="56">
        <v>33</v>
      </c>
      <c r="T65" s="11" t="s">
        <v>136</v>
      </c>
      <c r="U65" s="5" t="s">
        <v>135</v>
      </c>
      <c r="V65" s="21">
        <f>X65+Y65</f>
        <v>170661.15</v>
      </c>
      <c r="W65" s="21"/>
      <c r="X65" s="1">
        <f>Y65*0.15</f>
        <v>22260.149999999998</v>
      </c>
      <c r="Y65" s="22">
        <f>AA65*AC65</f>
        <v>148401</v>
      </c>
      <c r="Z65" s="22"/>
      <c r="AA65" s="54">
        <v>33</v>
      </c>
      <c r="AB65" s="55"/>
      <c r="AC65" s="2" t="s">
        <v>136</v>
      </c>
      <c r="AD65" s="6" t="s">
        <v>135</v>
      </c>
      <c r="AE65" s="11" t="s">
        <v>79</v>
      </c>
      <c r="AF65" s="5">
        <v>1</v>
      </c>
    </row>
    <row r="66" spans="3:32" ht="57" customHeight="1">
      <c r="C66" s="10">
        <f t="shared" ref="C66:C69" si="65">D66+M66+V66</f>
        <v>582705</v>
      </c>
      <c r="D66" s="21">
        <f t="shared" ref="D66:D120" si="66">F66+G66</f>
        <v>194235</v>
      </c>
      <c r="E66" s="21"/>
      <c r="F66" s="1">
        <f t="shared" ref="F66:F120" si="67">G66*0.15</f>
        <v>25335</v>
      </c>
      <c r="G66" s="22">
        <f t="shared" ref="G66:G120" si="68">I66*K66</f>
        <v>168900</v>
      </c>
      <c r="H66" s="22"/>
      <c r="I66" s="54">
        <v>50</v>
      </c>
      <c r="J66" s="55">
        <v>50</v>
      </c>
      <c r="K66" s="4" t="s">
        <v>137</v>
      </c>
      <c r="L66" s="5" t="s">
        <v>135</v>
      </c>
      <c r="M66" s="21">
        <f t="shared" ref="M66:M120" si="69">O66+P66</f>
        <v>194235</v>
      </c>
      <c r="N66" s="21"/>
      <c r="O66" s="1">
        <f t="shared" ref="O66:O120" si="70">P66*0.15</f>
        <v>25335</v>
      </c>
      <c r="P66" s="22">
        <f t="shared" ref="P66:P120" si="71">R66*T66</f>
        <v>168900</v>
      </c>
      <c r="Q66" s="22"/>
      <c r="R66" s="54">
        <v>50</v>
      </c>
      <c r="S66" s="56">
        <v>50</v>
      </c>
      <c r="T66" s="11" t="s">
        <v>137</v>
      </c>
      <c r="U66" s="5" t="s">
        <v>135</v>
      </c>
      <c r="V66" s="21">
        <f t="shared" ref="V66:V120" si="72">X66+Y66</f>
        <v>194235</v>
      </c>
      <c r="W66" s="21"/>
      <c r="X66" s="1">
        <f t="shared" ref="X66:X120" si="73">Y66*0.15</f>
        <v>25335</v>
      </c>
      <c r="Y66" s="22">
        <f t="shared" ref="Y66:Y120" si="74">AA66*AC66</f>
        <v>168900</v>
      </c>
      <c r="Z66" s="22"/>
      <c r="AA66" s="54">
        <v>50</v>
      </c>
      <c r="AB66" s="55"/>
      <c r="AC66" s="2" t="s">
        <v>137</v>
      </c>
      <c r="AD66" s="6" t="s">
        <v>135</v>
      </c>
      <c r="AE66" s="11" t="s">
        <v>80</v>
      </c>
      <c r="AF66" s="5">
        <v>2</v>
      </c>
    </row>
    <row r="67" spans="3:32" ht="57" customHeight="1">
      <c r="C67" s="10">
        <f t="shared" si="65"/>
        <v>115630.20000000001</v>
      </c>
      <c r="D67" s="21">
        <f t="shared" si="66"/>
        <v>38543.4</v>
      </c>
      <c r="E67" s="21"/>
      <c r="F67" s="1">
        <f t="shared" si="67"/>
        <v>5027.3999999999996</v>
      </c>
      <c r="G67" s="22">
        <f t="shared" si="68"/>
        <v>33516</v>
      </c>
      <c r="H67" s="22"/>
      <c r="I67" s="54">
        <v>28</v>
      </c>
      <c r="J67" s="55">
        <v>28</v>
      </c>
      <c r="K67" s="4" t="s">
        <v>138</v>
      </c>
      <c r="L67" s="5" t="s">
        <v>135</v>
      </c>
      <c r="M67" s="21">
        <f t="shared" si="69"/>
        <v>38543.4</v>
      </c>
      <c r="N67" s="21"/>
      <c r="O67" s="1">
        <f t="shared" si="70"/>
        <v>5027.3999999999996</v>
      </c>
      <c r="P67" s="22">
        <f t="shared" si="71"/>
        <v>33516</v>
      </c>
      <c r="Q67" s="22"/>
      <c r="R67" s="54">
        <v>28</v>
      </c>
      <c r="S67" s="56">
        <v>28</v>
      </c>
      <c r="T67" s="11" t="s">
        <v>138</v>
      </c>
      <c r="U67" s="5" t="s">
        <v>135</v>
      </c>
      <c r="V67" s="21">
        <f t="shared" si="72"/>
        <v>38543.4</v>
      </c>
      <c r="W67" s="21"/>
      <c r="X67" s="1">
        <f t="shared" si="73"/>
        <v>5027.3999999999996</v>
      </c>
      <c r="Y67" s="22">
        <f t="shared" si="74"/>
        <v>33516</v>
      </c>
      <c r="Z67" s="22"/>
      <c r="AA67" s="54">
        <v>28</v>
      </c>
      <c r="AB67" s="55"/>
      <c r="AC67" s="2" t="s">
        <v>138</v>
      </c>
      <c r="AD67" s="6" t="s">
        <v>135</v>
      </c>
      <c r="AE67" s="11" t="s">
        <v>81</v>
      </c>
      <c r="AF67" s="5">
        <v>3</v>
      </c>
    </row>
    <row r="68" spans="3:32" ht="57" customHeight="1">
      <c r="C68" s="10">
        <f t="shared" si="65"/>
        <v>87229.799999999988</v>
      </c>
      <c r="D68" s="21">
        <f t="shared" si="66"/>
        <v>29076.6</v>
      </c>
      <c r="E68" s="21"/>
      <c r="F68" s="1">
        <f t="shared" si="67"/>
        <v>3792.6</v>
      </c>
      <c r="G68" s="22">
        <f t="shared" si="68"/>
        <v>25284</v>
      </c>
      <c r="H68" s="22"/>
      <c r="I68" s="54">
        <v>28</v>
      </c>
      <c r="J68" s="55">
        <v>28</v>
      </c>
      <c r="K68" s="4" t="s">
        <v>139</v>
      </c>
      <c r="L68" s="5" t="s">
        <v>135</v>
      </c>
      <c r="M68" s="21">
        <f t="shared" si="69"/>
        <v>29076.6</v>
      </c>
      <c r="N68" s="21"/>
      <c r="O68" s="1">
        <f t="shared" si="70"/>
        <v>3792.6</v>
      </c>
      <c r="P68" s="22">
        <f t="shared" si="71"/>
        <v>25284</v>
      </c>
      <c r="Q68" s="22"/>
      <c r="R68" s="54">
        <v>28</v>
      </c>
      <c r="S68" s="56">
        <v>28</v>
      </c>
      <c r="T68" s="11" t="s">
        <v>139</v>
      </c>
      <c r="U68" s="5" t="s">
        <v>135</v>
      </c>
      <c r="V68" s="21">
        <f t="shared" si="72"/>
        <v>29076.6</v>
      </c>
      <c r="W68" s="21"/>
      <c r="X68" s="1">
        <f t="shared" si="73"/>
        <v>3792.6</v>
      </c>
      <c r="Y68" s="22">
        <f t="shared" si="74"/>
        <v>25284</v>
      </c>
      <c r="Z68" s="22"/>
      <c r="AA68" s="54">
        <v>28</v>
      </c>
      <c r="AB68" s="55"/>
      <c r="AC68" s="2" t="s">
        <v>139</v>
      </c>
      <c r="AD68" s="6" t="s">
        <v>135</v>
      </c>
      <c r="AE68" s="11" t="s">
        <v>82</v>
      </c>
      <c r="AF68" s="5">
        <v>4</v>
      </c>
    </row>
    <row r="69" spans="3:32" ht="57" customHeight="1">
      <c r="C69" s="10">
        <f t="shared" si="65"/>
        <v>43056</v>
      </c>
      <c r="D69" s="21">
        <f t="shared" si="66"/>
        <v>14352</v>
      </c>
      <c r="E69" s="21"/>
      <c r="F69" s="1">
        <f t="shared" si="67"/>
        <v>1872</v>
      </c>
      <c r="G69" s="22">
        <f t="shared" si="68"/>
        <v>12480</v>
      </c>
      <c r="H69" s="22"/>
      <c r="I69" s="54">
        <v>40</v>
      </c>
      <c r="J69" s="55">
        <v>40</v>
      </c>
      <c r="K69" s="4" t="s">
        <v>140</v>
      </c>
      <c r="L69" s="5" t="s">
        <v>135</v>
      </c>
      <c r="M69" s="21">
        <f t="shared" si="69"/>
        <v>14352</v>
      </c>
      <c r="N69" s="21"/>
      <c r="O69" s="1">
        <f t="shared" si="70"/>
        <v>1872</v>
      </c>
      <c r="P69" s="22">
        <f t="shared" si="71"/>
        <v>12480</v>
      </c>
      <c r="Q69" s="22"/>
      <c r="R69" s="54">
        <v>40</v>
      </c>
      <c r="S69" s="56">
        <v>40</v>
      </c>
      <c r="T69" s="11" t="s">
        <v>140</v>
      </c>
      <c r="U69" s="5" t="s">
        <v>135</v>
      </c>
      <c r="V69" s="21">
        <f t="shared" si="72"/>
        <v>14352</v>
      </c>
      <c r="W69" s="21"/>
      <c r="X69" s="1">
        <f t="shared" si="73"/>
        <v>1872</v>
      </c>
      <c r="Y69" s="22">
        <f t="shared" si="74"/>
        <v>12480</v>
      </c>
      <c r="Z69" s="22"/>
      <c r="AA69" s="54">
        <v>40</v>
      </c>
      <c r="AB69" s="55"/>
      <c r="AC69" s="2" t="s">
        <v>140</v>
      </c>
      <c r="AD69" s="6" t="s">
        <v>135</v>
      </c>
      <c r="AE69" s="11" t="s">
        <v>83</v>
      </c>
      <c r="AF69" s="5">
        <v>5</v>
      </c>
    </row>
    <row r="70" spans="3:32" ht="57" customHeight="1">
      <c r="C70" s="10">
        <f>D70+M70+V70</f>
        <v>82344.600000000006</v>
      </c>
      <c r="D70" s="21">
        <f t="shared" si="66"/>
        <v>27448.2</v>
      </c>
      <c r="E70" s="21"/>
      <c r="F70" s="1">
        <f t="shared" si="67"/>
        <v>3580.2</v>
      </c>
      <c r="G70" s="22">
        <f t="shared" si="68"/>
        <v>23868</v>
      </c>
      <c r="H70" s="22"/>
      <c r="I70" s="54">
        <v>39</v>
      </c>
      <c r="J70" s="55">
        <v>39</v>
      </c>
      <c r="K70" s="4" t="s">
        <v>141</v>
      </c>
      <c r="L70" s="5" t="s">
        <v>135</v>
      </c>
      <c r="M70" s="21">
        <f t="shared" si="69"/>
        <v>27448.2</v>
      </c>
      <c r="N70" s="21"/>
      <c r="O70" s="1">
        <f t="shared" si="70"/>
        <v>3580.2</v>
      </c>
      <c r="P70" s="22">
        <f t="shared" si="71"/>
        <v>23868</v>
      </c>
      <c r="Q70" s="22"/>
      <c r="R70" s="54">
        <v>39</v>
      </c>
      <c r="S70" s="56">
        <v>39</v>
      </c>
      <c r="T70" s="11" t="s">
        <v>141</v>
      </c>
      <c r="U70" s="5" t="s">
        <v>135</v>
      </c>
      <c r="V70" s="21">
        <f t="shared" si="72"/>
        <v>27448.2</v>
      </c>
      <c r="W70" s="21"/>
      <c r="X70" s="1">
        <f t="shared" si="73"/>
        <v>3580.2</v>
      </c>
      <c r="Y70" s="22">
        <f t="shared" si="74"/>
        <v>23868</v>
      </c>
      <c r="Z70" s="22"/>
      <c r="AA70" s="54">
        <v>39</v>
      </c>
      <c r="AB70" s="55"/>
      <c r="AC70" s="2" t="s">
        <v>141</v>
      </c>
      <c r="AD70" s="6" t="s">
        <v>135</v>
      </c>
      <c r="AE70" s="11" t="s">
        <v>84</v>
      </c>
      <c r="AF70" s="5">
        <v>6</v>
      </c>
    </row>
    <row r="71" spans="3:32" ht="57" customHeight="1">
      <c r="C71" s="10">
        <f t="shared" ref="C71:C74" si="75">D71+M71+V71</f>
        <v>43997.850000000006</v>
      </c>
      <c r="D71" s="21">
        <f t="shared" si="66"/>
        <v>14665.95</v>
      </c>
      <c r="E71" s="21"/>
      <c r="F71" s="1">
        <f t="shared" si="67"/>
        <v>1912.9499999999998</v>
      </c>
      <c r="G71" s="22">
        <f t="shared" si="68"/>
        <v>12753</v>
      </c>
      <c r="H71" s="22"/>
      <c r="I71" s="54">
        <v>39</v>
      </c>
      <c r="J71" s="55">
        <v>39</v>
      </c>
      <c r="K71" s="4" t="s">
        <v>142</v>
      </c>
      <c r="L71" s="5" t="s">
        <v>135</v>
      </c>
      <c r="M71" s="21">
        <f t="shared" si="69"/>
        <v>14665.95</v>
      </c>
      <c r="N71" s="21"/>
      <c r="O71" s="1">
        <f t="shared" si="70"/>
        <v>1912.9499999999998</v>
      </c>
      <c r="P71" s="22">
        <f t="shared" si="71"/>
        <v>12753</v>
      </c>
      <c r="Q71" s="22"/>
      <c r="R71" s="54">
        <v>39</v>
      </c>
      <c r="S71" s="56">
        <v>39</v>
      </c>
      <c r="T71" s="11" t="s">
        <v>142</v>
      </c>
      <c r="U71" s="5" t="s">
        <v>135</v>
      </c>
      <c r="V71" s="21">
        <f t="shared" si="72"/>
        <v>14665.95</v>
      </c>
      <c r="W71" s="21"/>
      <c r="X71" s="1">
        <f t="shared" si="73"/>
        <v>1912.9499999999998</v>
      </c>
      <c r="Y71" s="22">
        <f t="shared" si="74"/>
        <v>12753</v>
      </c>
      <c r="Z71" s="22"/>
      <c r="AA71" s="54">
        <v>39</v>
      </c>
      <c r="AB71" s="55"/>
      <c r="AC71" s="2" t="s">
        <v>142</v>
      </c>
      <c r="AD71" s="6" t="s">
        <v>135</v>
      </c>
      <c r="AE71" s="11" t="s">
        <v>85</v>
      </c>
      <c r="AF71" s="5">
        <v>7</v>
      </c>
    </row>
    <row r="72" spans="3:32" ht="57" customHeight="1">
      <c r="C72" s="10">
        <f t="shared" si="75"/>
        <v>60547.5</v>
      </c>
      <c r="D72" s="21">
        <f t="shared" si="66"/>
        <v>20182.5</v>
      </c>
      <c r="E72" s="21"/>
      <c r="F72" s="1">
        <f t="shared" si="67"/>
        <v>2632.5</v>
      </c>
      <c r="G72" s="22">
        <f t="shared" si="68"/>
        <v>17550</v>
      </c>
      <c r="H72" s="22"/>
      <c r="I72" s="54">
        <v>39</v>
      </c>
      <c r="J72" s="55">
        <v>39</v>
      </c>
      <c r="K72" s="4" t="s">
        <v>143</v>
      </c>
      <c r="L72" s="5" t="s">
        <v>135</v>
      </c>
      <c r="M72" s="21">
        <f t="shared" si="69"/>
        <v>20182.5</v>
      </c>
      <c r="N72" s="21"/>
      <c r="O72" s="1">
        <f t="shared" si="70"/>
        <v>2632.5</v>
      </c>
      <c r="P72" s="22">
        <f t="shared" si="71"/>
        <v>17550</v>
      </c>
      <c r="Q72" s="22"/>
      <c r="R72" s="54">
        <v>39</v>
      </c>
      <c r="S72" s="56">
        <v>39</v>
      </c>
      <c r="T72" s="11" t="s">
        <v>143</v>
      </c>
      <c r="U72" s="5" t="s">
        <v>135</v>
      </c>
      <c r="V72" s="21">
        <f t="shared" si="72"/>
        <v>20182.5</v>
      </c>
      <c r="W72" s="21"/>
      <c r="X72" s="1">
        <f t="shared" si="73"/>
        <v>2632.5</v>
      </c>
      <c r="Y72" s="22">
        <f t="shared" si="74"/>
        <v>17550</v>
      </c>
      <c r="Z72" s="22"/>
      <c r="AA72" s="54">
        <v>39</v>
      </c>
      <c r="AB72" s="55"/>
      <c r="AC72" s="2" t="s">
        <v>143</v>
      </c>
      <c r="AD72" s="6" t="s">
        <v>135</v>
      </c>
      <c r="AE72" s="11" t="s">
        <v>86</v>
      </c>
      <c r="AF72" s="5">
        <v>8</v>
      </c>
    </row>
    <row r="73" spans="3:32" ht="57" customHeight="1">
      <c r="C73" s="10">
        <f t="shared" si="75"/>
        <v>42952.5</v>
      </c>
      <c r="D73" s="21">
        <f t="shared" si="66"/>
        <v>14317.5</v>
      </c>
      <c r="E73" s="21"/>
      <c r="F73" s="1">
        <f t="shared" si="67"/>
        <v>1867.5</v>
      </c>
      <c r="G73" s="22">
        <f t="shared" si="68"/>
        <v>12450</v>
      </c>
      <c r="H73" s="22"/>
      <c r="I73" s="54">
        <v>50</v>
      </c>
      <c r="J73" s="55">
        <v>50</v>
      </c>
      <c r="K73" s="4" t="s">
        <v>144</v>
      </c>
      <c r="L73" s="5" t="s">
        <v>135</v>
      </c>
      <c r="M73" s="21">
        <f t="shared" si="69"/>
        <v>14317.5</v>
      </c>
      <c r="N73" s="21"/>
      <c r="O73" s="1">
        <f t="shared" si="70"/>
        <v>1867.5</v>
      </c>
      <c r="P73" s="22">
        <f t="shared" si="71"/>
        <v>12450</v>
      </c>
      <c r="Q73" s="22"/>
      <c r="R73" s="54">
        <v>50</v>
      </c>
      <c r="S73" s="56">
        <v>50</v>
      </c>
      <c r="T73" s="11" t="s">
        <v>144</v>
      </c>
      <c r="U73" s="5" t="s">
        <v>135</v>
      </c>
      <c r="V73" s="21">
        <f t="shared" si="72"/>
        <v>14317.5</v>
      </c>
      <c r="W73" s="21"/>
      <c r="X73" s="1">
        <f t="shared" si="73"/>
        <v>1867.5</v>
      </c>
      <c r="Y73" s="22">
        <f t="shared" si="74"/>
        <v>12450</v>
      </c>
      <c r="Z73" s="22"/>
      <c r="AA73" s="54">
        <v>50</v>
      </c>
      <c r="AB73" s="55"/>
      <c r="AC73" s="2" t="s">
        <v>144</v>
      </c>
      <c r="AD73" s="6" t="s">
        <v>135</v>
      </c>
      <c r="AE73" s="11" t="s">
        <v>87</v>
      </c>
      <c r="AF73" s="5">
        <v>9</v>
      </c>
    </row>
    <row r="74" spans="3:32" ht="57" customHeight="1">
      <c r="C74" s="10">
        <f t="shared" si="75"/>
        <v>49680</v>
      </c>
      <c r="D74" s="21">
        <f t="shared" si="66"/>
        <v>16560</v>
      </c>
      <c r="E74" s="21"/>
      <c r="F74" s="1">
        <f t="shared" si="67"/>
        <v>2160</v>
      </c>
      <c r="G74" s="22">
        <f t="shared" si="68"/>
        <v>14400</v>
      </c>
      <c r="H74" s="22"/>
      <c r="I74" s="54">
        <v>50</v>
      </c>
      <c r="J74" s="55">
        <v>50</v>
      </c>
      <c r="K74" s="4" t="s">
        <v>145</v>
      </c>
      <c r="L74" s="5" t="s">
        <v>135</v>
      </c>
      <c r="M74" s="21">
        <f t="shared" si="69"/>
        <v>16560</v>
      </c>
      <c r="N74" s="21"/>
      <c r="O74" s="1">
        <f t="shared" si="70"/>
        <v>2160</v>
      </c>
      <c r="P74" s="22">
        <f t="shared" si="71"/>
        <v>14400</v>
      </c>
      <c r="Q74" s="22"/>
      <c r="R74" s="54">
        <v>50</v>
      </c>
      <c r="S74" s="56">
        <v>50</v>
      </c>
      <c r="T74" s="11" t="s">
        <v>145</v>
      </c>
      <c r="U74" s="5" t="s">
        <v>135</v>
      </c>
      <c r="V74" s="21">
        <f t="shared" si="72"/>
        <v>16560</v>
      </c>
      <c r="W74" s="21"/>
      <c r="X74" s="1">
        <f t="shared" si="73"/>
        <v>2160</v>
      </c>
      <c r="Y74" s="22">
        <f t="shared" si="74"/>
        <v>14400</v>
      </c>
      <c r="Z74" s="22"/>
      <c r="AA74" s="54">
        <v>50</v>
      </c>
      <c r="AB74" s="55"/>
      <c r="AC74" s="2" t="s">
        <v>145</v>
      </c>
      <c r="AD74" s="6" t="s">
        <v>135</v>
      </c>
      <c r="AE74" s="11" t="s">
        <v>88</v>
      </c>
      <c r="AF74" s="5">
        <v>10</v>
      </c>
    </row>
    <row r="75" spans="3:32" ht="57" customHeight="1">
      <c r="C75" s="10">
        <f>D75+M75+V75</f>
        <v>113353.20000000001</v>
      </c>
      <c r="D75" s="21">
        <f t="shared" si="66"/>
        <v>37784.400000000001</v>
      </c>
      <c r="E75" s="21"/>
      <c r="F75" s="1">
        <f t="shared" si="67"/>
        <v>4928.3999999999996</v>
      </c>
      <c r="G75" s="22">
        <f t="shared" si="68"/>
        <v>32856</v>
      </c>
      <c r="H75" s="22"/>
      <c r="I75" s="54">
        <v>74</v>
      </c>
      <c r="J75" s="55">
        <v>74</v>
      </c>
      <c r="K75" s="4" t="s">
        <v>146</v>
      </c>
      <c r="L75" s="5" t="s">
        <v>135</v>
      </c>
      <c r="M75" s="21">
        <f t="shared" si="69"/>
        <v>37784.400000000001</v>
      </c>
      <c r="N75" s="21"/>
      <c r="O75" s="1">
        <f t="shared" si="70"/>
        <v>4928.3999999999996</v>
      </c>
      <c r="P75" s="22">
        <f t="shared" si="71"/>
        <v>32856</v>
      </c>
      <c r="Q75" s="22"/>
      <c r="R75" s="54">
        <v>74</v>
      </c>
      <c r="S75" s="56">
        <v>74</v>
      </c>
      <c r="T75" s="11" t="s">
        <v>146</v>
      </c>
      <c r="U75" s="5" t="s">
        <v>135</v>
      </c>
      <c r="V75" s="21">
        <f t="shared" si="72"/>
        <v>37784.400000000001</v>
      </c>
      <c r="W75" s="21"/>
      <c r="X75" s="1">
        <f t="shared" si="73"/>
        <v>4928.3999999999996</v>
      </c>
      <c r="Y75" s="22">
        <f t="shared" si="74"/>
        <v>32856</v>
      </c>
      <c r="Z75" s="22"/>
      <c r="AA75" s="54">
        <v>74</v>
      </c>
      <c r="AB75" s="55"/>
      <c r="AC75" s="2" t="s">
        <v>146</v>
      </c>
      <c r="AD75" s="6" t="s">
        <v>135</v>
      </c>
      <c r="AE75" s="11" t="s">
        <v>89</v>
      </c>
      <c r="AF75" s="5">
        <v>11</v>
      </c>
    </row>
    <row r="76" spans="3:32" ht="57" customHeight="1">
      <c r="C76" s="10">
        <f t="shared" ref="C76:C78" si="76">D76+M76+V76</f>
        <v>173362.5</v>
      </c>
      <c r="D76" s="21">
        <f t="shared" si="66"/>
        <v>57787.5</v>
      </c>
      <c r="E76" s="21"/>
      <c r="F76" s="1">
        <f t="shared" si="67"/>
        <v>7537.5</v>
      </c>
      <c r="G76" s="22">
        <f t="shared" si="68"/>
        <v>50250</v>
      </c>
      <c r="H76" s="22"/>
      <c r="I76" s="54">
        <v>125</v>
      </c>
      <c r="J76" s="55">
        <v>125</v>
      </c>
      <c r="K76" s="4" t="s">
        <v>147</v>
      </c>
      <c r="L76" s="5" t="s">
        <v>135</v>
      </c>
      <c r="M76" s="21">
        <f t="shared" si="69"/>
        <v>57787.5</v>
      </c>
      <c r="N76" s="21"/>
      <c r="O76" s="1">
        <f t="shared" si="70"/>
        <v>7537.5</v>
      </c>
      <c r="P76" s="22">
        <f t="shared" si="71"/>
        <v>50250</v>
      </c>
      <c r="Q76" s="22"/>
      <c r="R76" s="54">
        <v>125</v>
      </c>
      <c r="S76" s="56">
        <v>125</v>
      </c>
      <c r="T76" s="11" t="s">
        <v>147</v>
      </c>
      <c r="U76" s="5" t="s">
        <v>135</v>
      </c>
      <c r="V76" s="21">
        <f t="shared" si="72"/>
        <v>57787.5</v>
      </c>
      <c r="W76" s="21"/>
      <c r="X76" s="1">
        <f t="shared" si="73"/>
        <v>7537.5</v>
      </c>
      <c r="Y76" s="22">
        <f t="shared" si="74"/>
        <v>50250</v>
      </c>
      <c r="Z76" s="22"/>
      <c r="AA76" s="54">
        <v>125</v>
      </c>
      <c r="AB76" s="55"/>
      <c r="AC76" s="2" t="s">
        <v>147</v>
      </c>
      <c r="AD76" s="6" t="s">
        <v>135</v>
      </c>
      <c r="AE76" s="11" t="s">
        <v>90</v>
      </c>
      <c r="AF76" s="5">
        <v>12</v>
      </c>
    </row>
    <row r="77" spans="3:32" ht="57" customHeight="1">
      <c r="C77" s="10">
        <f t="shared" si="76"/>
        <v>63093.600000000006</v>
      </c>
      <c r="D77" s="21">
        <f t="shared" si="66"/>
        <v>21031.200000000001</v>
      </c>
      <c r="E77" s="21"/>
      <c r="F77" s="1">
        <f t="shared" si="67"/>
        <v>2743.2</v>
      </c>
      <c r="G77" s="22">
        <f t="shared" si="68"/>
        <v>18288</v>
      </c>
      <c r="H77" s="22"/>
      <c r="I77" s="54">
        <v>48</v>
      </c>
      <c r="J77" s="55">
        <v>48</v>
      </c>
      <c r="K77" s="4" t="s">
        <v>148</v>
      </c>
      <c r="L77" s="5" t="s">
        <v>135</v>
      </c>
      <c r="M77" s="21">
        <f t="shared" si="69"/>
        <v>21031.200000000001</v>
      </c>
      <c r="N77" s="21"/>
      <c r="O77" s="1">
        <f t="shared" si="70"/>
        <v>2743.2</v>
      </c>
      <c r="P77" s="22">
        <f t="shared" si="71"/>
        <v>18288</v>
      </c>
      <c r="Q77" s="22"/>
      <c r="R77" s="54">
        <v>48</v>
      </c>
      <c r="S77" s="56">
        <v>48</v>
      </c>
      <c r="T77" s="11" t="s">
        <v>148</v>
      </c>
      <c r="U77" s="5" t="s">
        <v>135</v>
      </c>
      <c r="V77" s="21">
        <f t="shared" si="72"/>
        <v>21031.200000000001</v>
      </c>
      <c r="W77" s="21"/>
      <c r="X77" s="1">
        <f t="shared" si="73"/>
        <v>2743.2</v>
      </c>
      <c r="Y77" s="22">
        <f t="shared" si="74"/>
        <v>18288</v>
      </c>
      <c r="Z77" s="22"/>
      <c r="AA77" s="54">
        <v>48</v>
      </c>
      <c r="AB77" s="55"/>
      <c r="AC77" s="2" t="s">
        <v>148</v>
      </c>
      <c r="AD77" s="6" t="s">
        <v>135</v>
      </c>
      <c r="AE77" s="11" t="s">
        <v>91</v>
      </c>
      <c r="AF77" s="5">
        <v>13</v>
      </c>
    </row>
    <row r="78" spans="3:32" ht="57" customHeight="1">
      <c r="C78" s="10">
        <f t="shared" si="76"/>
        <v>41172.300000000003</v>
      </c>
      <c r="D78" s="21">
        <f t="shared" si="66"/>
        <v>13724.1</v>
      </c>
      <c r="E78" s="21"/>
      <c r="F78" s="1">
        <f t="shared" si="67"/>
        <v>1790.1</v>
      </c>
      <c r="G78" s="22">
        <f t="shared" si="68"/>
        <v>11934</v>
      </c>
      <c r="H78" s="22"/>
      <c r="I78" s="54">
        <v>39</v>
      </c>
      <c r="J78" s="55">
        <v>39</v>
      </c>
      <c r="K78" s="4" t="s">
        <v>149</v>
      </c>
      <c r="L78" s="5" t="s">
        <v>135</v>
      </c>
      <c r="M78" s="21">
        <f t="shared" si="69"/>
        <v>13724.1</v>
      </c>
      <c r="N78" s="21"/>
      <c r="O78" s="1">
        <f t="shared" si="70"/>
        <v>1790.1</v>
      </c>
      <c r="P78" s="22">
        <f t="shared" si="71"/>
        <v>11934</v>
      </c>
      <c r="Q78" s="22"/>
      <c r="R78" s="54">
        <v>39</v>
      </c>
      <c r="S78" s="56">
        <v>39</v>
      </c>
      <c r="T78" s="11" t="s">
        <v>149</v>
      </c>
      <c r="U78" s="5" t="s">
        <v>135</v>
      </c>
      <c r="V78" s="21">
        <f t="shared" si="72"/>
        <v>13724.1</v>
      </c>
      <c r="W78" s="21"/>
      <c r="X78" s="1">
        <f t="shared" si="73"/>
        <v>1790.1</v>
      </c>
      <c r="Y78" s="22">
        <f t="shared" si="74"/>
        <v>11934</v>
      </c>
      <c r="Z78" s="22"/>
      <c r="AA78" s="54">
        <v>39</v>
      </c>
      <c r="AB78" s="55"/>
      <c r="AC78" s="2" t="s">
        <v>149</v>
      </c>
      <c r="AD78" s="6" t="s">
        <v>135</v>
      </c>
      <c r="AE78" s="11" t="s">
        <v>92</v>
      </c>
      <c r="AF78" s="5">
        <v>14</v>
      </c>
    </row>
    <row r="79" spans="3:32" ht="57" customHeight="1">
      <c r="C79" s="10">
        <f>D79+M79+V79</f>
        <v>22604.400000000001</v>
      </c>
      <c r="D79" s="21">
        <f t="shared" si="66"/>
        <v>7534.8</v>
      </c>
      <c r="E79" s="21"/>
      <c r="F79" s="1">
        <f t="shared" si="67"/>
        <v>982.8</v>
      </c>
      <c r="G79" s="22">
        <f t="shared" si="68"/>
        <v>6552</v>
      </c>
      <c r="H79" s="22"/>
      <c r="I79" s="54">
        <v>39</v>
      </c>
      <c r="J79" s="55">
        <v>39</v>
      </c>
      <c r="K79" s="4" t="s">
        <v>150</v>
      </c>
      <c r="L79" s="5" t="s">
        <v>135</v>
      </c>
      <c r="M79" s="21">
        <f t="shared" si="69"/>
        <v>7534.8</v>
      </c>
      <c r="N79" s="21"/>
      <c r="O79" s="1">
        <f t="shared" si="70"/>
        <v>982.8</v>
      </c>
      <c r="P79" s="22">
        <f t="shared" si="71"/>
        <v>6552</v>
      </c>
      <c r="Q79" s="22"/>
      <c r="R79" s="54">
        <v>39</v>
      </c>
      <c r="S79" s="56">
        <v>39</v>
      </c>
      <c r="T79" s="11" t="s">
        <v>150</v>
      </c>
      <c r="U79" s="5" t="s">
        <v>135</v>
      </c>
      <c r="V79" s="21">
        <f t="shared" si="72"/>
        <v>7534.8</v>
      </c>
      <c r="W79" s="21"/>
      <c r="X79" s="1">
        <f t="shared" si="73"/>
        <v>982.8</v>
      </c>
      <c r="Y79" s="22">
        <f t="shared" si="74"/>
        <v>6552</v>
      </c>
      <c r="Z79" s="22"/>
      <c r="AA79" s="54">
        <v>39</v>
      </c>
      <c r="AB79" s="55">
        <v>39</v>
      </c>
      <c r="AC79" s="2" t="s">
        <v>150</v>
      </c>
      <c r="AD79" s="6" t="s">
        <v>135</v>
      </c>
      <c r="AE79" s="11" t="s">
        <v>93</v>
      </c>
      <c r="AF79" s="5">
        <v>1</v>
      </c>
    </row>
    <row r="80" spans="3:32" ht="57" customHeight="1">
      <c r="C80" s="10">
        <f t="shared" ref="C80:C83" si="77">D80+M80+V80</f>
        <v>46419.75</v>
      </c>
      <c r="D80" s="21">
        <f t="shared" si="66"/>
        <v>15473.25</v>
      </c>
      <c r="E80" s="21"/>
      <c r="F80" s="1">
        <f t="shared" si="67"/>
        <v>2018.25</v>
      </c>
      <c r="G80" s="22">
        <f t="shared" si="68"/>
        <v>13455</v>
      </c>
      <c r="H80" s="22"/>
      <c r="I80" s="54">
        <v>39</v>
      </c>
      <c r="J80" s="55">
        <v>39</v>
      </c>
      <c r="K80" s="4" t="s">
        <v>151</v>
      </c>
      <c r="L80" s="5" t="s">
        <v>135</v>
      </c>
      <c r="M80" s="21">
        <f t="shared" si="69"/>
        <v>15473.25</v>
      </c>
      <c r="N80" s="21"/>
      <c r="O80" s="1">
        <f t="shared" si="70"/>
        <v>2018.25</v>
      </c>
      <c r="P80" s="22">
        <f t="shared" si="71"/>
        <v>13455</v>
      </c>
      <c r="Q80" s="22"/>
      <c r="R80" s="54">
        <v>39</v>
      </c>
      <c r="S80" s="56">
        <v>39</v>
      </c>
      <c r="T80" s="11" t="s">
        <v>151</v>
      </c>
      <c r="U80" s="5" t="s">
        <v>135</v>
      </c>
      <c r="V80" s="21">
        <f t="shared" si="72"/>
        <v>15473.25</v>
      </c>
      <c r="W80" s="21"/>
      <c r="X80" s="1">
        <f t="shared" si="73"/>
        <v>2018.25</v>
      </c>
      <c r="Y80" s="22">
        <f t="shared" si="74"/>
        <v>13455</v>
      </c>
      <c r="Z80" s="22"/>
      <c r="AA80" s="54">
        <v>39</v>
      </c>
      <c r="AB80" s="55">
        <v>39</v>
      </c>
      <c r="AC80" s="2" t="s">
        <v>151</v>
      </c>
      <c r="AD80" s="6" t="s">
        <v>135</v>
      </c>
      <c r="AE80" s="11" t="s">
        <v>94</v>
      </c>
      <c r="AF80" s="5">
        <v>2</v>
      </c>
    </row>
    <row r="81" spans="3:32" ht="57" customHeight="1">
      <c r="C81" s="10">
        <f t="shared" si="77"/>
        <v>26082</v>
      </c>
      <c r="D81" s="21">
        <f t="shared" si="66"/>
        <v>8694</v>
      </c>
      <c r="E81" s="21"/>
      <c r="F81" s="1">
        <f t="shared" si="67"/>
        <v>1134</v>
      </c>
      <c r="G81" s="22">
        <f t="shared" si="68"/>
        <v>7560</v>
      </c>
      <c r="H81" s="22"/>
      <c r="I81" s="54">
        <v>35</v>
      </c>
      <c r="J81" s="55">
        <v>35</v>
      </c>
      <c r="K81" s="4" t="s">
        <v>152</v>
      </c>
      <c r="L81" s="5" t="s">
        <v>135</v>
      </c>
      <c r="M81" s="21">
        <f t="shared" si="69"/>
        <v>8694</v>
      </c>
      <c r="N81" s="21"/>
      <c r="O81" s="1">
        <f t="shared" si="70"/>
        <v>1134</v>
      </c>
      <c r="P81" s="22">
        <f t="shared" si="71"/>
        <v>7560</v>
      </c>
      <c r="Q81" s="22"/>
      <c r="R81" s="54">
        <v>35</v>
      </c>
      <c r="S81" s="56">
        <v>35</v>
      </c>
      <c r="T81" s="11" t="s">
        <v>152</v>
      </c>
      <c r="U81" s="5" t="s">
        <v>135</v>
      </c>
      <c r="V81" s="21">
        <f t="shared" si="72"/>
        <v>8694</v>
      </c>
      <c r="W81" s="21"/>
      <c r="X81" s="1">
        <f t="shared" si="73"/>
        <v>1134</v>
      </c>
      <c r="Y81" s="22">
        <f t="shared" si="74"/>
        <v>7560</v>
      </c>
      <c r="Z81" s="22"/>
      <c r="AA81" s="54">
        <v>35</v>
      </c>
      <c r="AB81" s="55">
        <v>35</v>
      </c>
      <c r="AC81" s="2" t="s">
        <v>152</v>
      </c>
      <c r="AD81" s="6" t="s">
        <v>135</v>
      </c>
      <c r="AE81" s="11" t="s">
        <v>95</v>
      </c>
      <c r="AF81" s="5">
        <v>3</v>
      </c>
    </row>
    <row r="82" spans="3:32" ht="57" customHeight="1">
      <c r="C82" s="10">
        <f t="shared" si="77"/>
        <v>26640.899999999998</v>
      </c>
      <c r="D82" s="21">
        <f t="shared" si="66"/>
        <v>8880.2999999999993</v>
      </c>
      <c r="E82" s="21"/>
      <c r="F82" s="1">
        <f t="shared" si="67"/>
        <v>1158.3</v>
      </c>
      <c r="G82" s="22">
        <f t="shared" si="68"/>
        <v>7722</v>
      </c>
      <c r="H82" s="22"/>
      <c r="I82" s="54">
        <v>39</v>
      </c>
      <c r="J82" s="55">
        <v>39</v>
      </c>
      <c r="K82" s="4" t="s">
        <v>153</v>
      </c>
      <c r="L82" s="5" t="s">
        <v>135</v>
      </c>
      <c r="M82" s="21">
        <f t="shared" si="69"/>
        <v>8880.2999999999993</v>
      </c>
      <c r="N82" s="21"/>
      <c r="O82" s="1">
        <f t="shared" si="70"/>
        <v>1158.3</v>
      </c>
      <c r="P82" s="22">
        <f t="shared" si="71"/>
        <v>7722</v>
      </c>
      <c r="Q82" s="22"/>
      <c r="R82" s="54">
        <v>39</v>
      </c>
      <c r="S82" s="56">
        <v>39</v>
      </c>
      <c r="T82" s="11" t="s">
        <v>153</v>
      </c>
      <c r="U82" s="5" t="s">
        <v>135</v>
      </c>
      <c r="V82" s="21">
        <f t="shared" si="72"/>
        <v>8880.2999999999993</v>
      </c>
      <c r="W82" s="21"/>
      <c r="X82" s="1">
        <f t="shared" si="73"/>
        <v>1158.3</v>
      </c>
      <c r="Y82" s="22">
        <f t="shared" si="74"/>
        <v>7722</v>
      </c>
      <c r="Z82" s="22"/>
      <c r="AA82" s="54">
        <v>39</v>
      </c>
      <c r="AB82" s="55">
        <v>39</v>
      </c>
      <c r="AC82" s="2" t="s">
        <v>153</v>
      </c>
      <c r="AD82" s="6" t="s">
        <v>135</v>
      </c>
      <c r="AE82" s="11" t="s">
        <v>96</v>
      </c>
      <c r="AF82" s="5">
        <v>4</v>
      </c>
    </row>
    <row r="83" spans="3:32" ht="57" customHeight="1">
      <c r="C83" s="10">
        <f t="shared" si="77"/>
        <v>28410.75</v>
      </c>
      <c r="D83" s="21">
        <f t="shared" si="66"/>
        <v>9470.25</v>
      </c>
      <c r="E83" s="21"/>
      <c r="F83" s="1">
        <f t="shared" si="67"/>
        <v>1235.25</v>
      </c>
      <c r="G83" s="22">
        <f t="shared" si="68"/>
        <v>8235</v>
      </c>
      <c r="H83" s="22"/>
      <c r="I83" s="54">
        <v>45</v>
      </c>
      <c r="J83" s="55">
        <v>45</v>
      </c>
      <c r="K83" s="4" t="s">
        <v>154</v>
      </c>
      <c r="L83" s="5" t="s">
        <v>135</v>
      </c>
      <c r="M83" s="21">
        <f t="shared" si="69"/>
        <v>9470.25</v>
      </c>
      <c r="N83" s="21"/>
      <c r="O83" s="1">
        <f t="shared" si="70"/>
        <v>1235.25</v>
      </c>
      <c r="P83" s="22">
        <f t="shared" si="71"/>
        <v>8235</v>
      </c>
      <c r="Q83" s="22"/>
      <c r="R83" s="54">
        <v>45</v>
      </c>
      <c r="S83" s="56">
        <v>45</v>
      </c>
      <c r="T83" s="11" t="s">
        <v>154</v>
      </c>
      <c r="U83" s="5" t="s">
        <v>135</v>
      </c>
      <c r="V83" s="21">
        <f t="shared" si="72"/>
        <v>9470.25</v>
      </c>
      <c r="W83" s="21"/>
      <c r="X83" s="1">
        <f t="shared" si="73"/>
        <v>1235.25</v>
      </c>
      <c r="Y83" s="22">
        <f t="shared" si="74"/>
        <v>8235</v>
      </c>
      <c r="Z83" s="22"/>
      <c r="AA83" s="54">
        <v>45</v>
      </c>
      <c r="AB83" s="55">
        <v>45</v>
      </c>
      <c r="AC83" s="2" t="s">
        <v>154</v>
      </c>
      <c r="AD83" s="6" t="s">
        <v>135</v>
      </c>
      <c r="AE83" s="11" t="s">
        <v>97</v>
      </c>
      <c r="AF83" s="5">
        <v>5</v>
      </c>
    </row>
    <row r="84" spans="3:32" ht="57" customHeight="1">
      <c r="C84" s="10">
        <f>D84+M84+V84</f>
        <v>23287.5</v>
      </c>
      <c r="D84" s="21">
        <f t="shared" si="66"/>
        <v>7762.5</v>
      </c>
      <c r="E84" s="21"/>
      <c r="F84" s="1">
        <f t="shared" si="67"/>
        <v>1012.5</v>
      </c>
      <c r="G84" s="22">
        <f t="shared" si="68"/>
        <v>6750</v>
      </c>
      <c r="H84" s="22"/>
      <c r="I84" s="54">
        <v>45</v>
      </c>
      <c r="J84" s="55">
        <v>45</v>
      </c>
      <c r="K84" s="4" t="s">
        <v>155</v>
      </c>
      <c r="L84" s="5" t="s">
        <v>135</v>
      </c>
      <c r="M84" s="21">
        <f t="shared" si="69"/>
        <v>7762.5</v>
      </c>
      <c r="N84" s="21"/>
      <c r="O84" s="1">
        <f t="shared" si="70"/>
        <v>1012.5</v>
      </c>
      <c r="P84" s="22">
        <f t="shared" si="71"/>
        <v>6750</v>
      </c>
      <c r="Q84" s="22"/>
      <c r="R84" s="54">
        <v>45</v>
      </c>
      <c r="S84" s="56">
        <v>45</v>
      </c>
      <c r="T84" s="11" t="s">
        <v>155</v>
      </c>
      <c r="U84" s="5" t="s">
        <v>135</v>
      </c>
      <c r="V84" s="21">
        <f t="shared" si="72"/>
        <v>7762.5</v>
      </c>
      <c r="W84" s="21"/>
      <c r="X84" s="1">
        <f t="shared" si="73"/>
        <v>1012.5</v>
      </c>
      <c r="Y84" s="22">
        <f t="shared" si="74"/>
        <v>6750</v>
      </c>
      <c r="Z84" s="22"/>
      <c r="AA84" s="54">
        <v>45</v>
      </c>
      <c r="AB84" s="55">
        <v>45</v>
      </c>
      <c r="AC84" s="2" t="s">
        <v>155</v>
      </c>
      <c r="AD84" s="6" t="s">
        <v>135</v>
      </c>
      <c r="AE84" s="11" t="s">
        <v>98</v>
      </c>
      <c r="AF84" s="5">
        <v>6</v>
      </c>
    </row>
    <row r="85" spans="3:32" ht="57" customHeight="1">
      <c r="C85" s="10">
        <f t="shared" ref="C85:C88" si="78">D85+M85+V85</f>
        <v>19095.75</v>
      </c>
      <c r="D85" s="21">
        <f t="shared" si="66"/>
        <v>6365.25</v>
      </c>
      <c r="E85" s="21"/>
      <c r="F85" s="1">
        <f t="shared" si="67"/>
        <v>830.25</v>
      </c>
      <c r="G85" s="22">
        <f t="shared" si="68"/>
        <v>5535</v>
      </c>
      <c r="H85" s="22"/>
      <c r="I85" s="54">
        <v>45</v>
      </c>
      <c r="J85" s="55">
        <v>45</v>
      </c>
      <c r="K85" s="4" t="s">
        <v>156</v>
      </c>
      <c r="L85" s="5" t="s">
        <v>135</v>
      </c>
      <c r="M85" s="21">
        <f t="shared" si="69"/>
        <v>6365.25</v>
      </c>
      <c r="N85" s="21"/>
      <c r="O85" s="1">
        <f t="shared" si="70"/>
        <v>830.25</v>
      </c>
      <c r="P85" s="22">
        <f t="shared" si="71"/>
        <v>5535</v>
      </c>
      <c r="Q85" s="22"/>
      <c r="R85" s="54">
        <v>45</v>
      </c>
      <c r="S85" s="56">
        <v>45</v>
      </c>
      <c r="T85" s="11" t="s">
        <v>156</v>
      </c>
      <c r="U85" s="5" t="s">
        <v>135</v>
      </c>
      <c r="V85" s="21">
        <f t="shared" si="72"/>
        <v>6365.25</v>
      </c>
      <c r="W85" s="21"/>
      <c r="X85" s="1">
        <f t="shared" si="73"/>
        <v>830.25</v>
      </c>
      <c r="Y85" s="22">
        <f t="shared" si="74"/>
        <v>5535</v>
      </c>
      <c r="Z85" s="22"/>
      <c r="AA85" s="54">
        <v>45</v>
      </c>
      <c r="AB85" s="55">
        <v>45</v>
      </c>
      <c r="AC85" s="2" t="s">
        <v>156</v>
      </c>
      <c r="AD85" s="6" t="s">
        <v>135</v>
      </c>
      <c r="AE85" s="11" t="s">
        <v>99</v>
      </c>
      <c r="AF85" s="5">
        <v>7</v>
      </c>
    </row>
    <row r="86" spans="3:32" ht="57" customHeight="1">
      <c r="C86" s="10">
        <f t="shared" si="78"/>
        <v>15835.5</v>
      </c>
      <c r="D86" s="21">
        <f t="shared" si="66"/>
        <v>5278.5</v>
      </c>
      <c r="E86" s="21"/>
      <c r="F86" s="1">
        <f t="shared" si="67"/>
        <v>688.5</v>
      </c>
      <c r="G86" s="22">
        <f t="shared" si="68"/>
        <v>4590</v>
      </c>
      <c r="H86" s="22"/>
      <c r="I86" s="54">
        <v>45</v>
      </c>
      <c r="J86" s="55">
        <v>45</v>
      </c>
      <c r="K86" s="4" t="s">
        <v>157</v>
      </c>
      <c r="L86" s="5" t="s">
        <v>135</v>
      </c>
      <c r="M86" s="21">
        <f t="shared" si="69"/>
        <v>5278.5</v>
      </c>
      <c r="N86" s="21"/>
      <c r="O86" s="1">
        <f t="shared" si="70"/>
        <v>688.5</v>
      </c>
      <c r="P86" s="22">
        <f t="shared" si="71"/>
        <v>4590</v>
      </c>
      <c r="Q86" s="22"/>
      <c r="R86" s="54">
        <v>45</v>
      </c>
      <c r="S86" s="56">
        <v>45</v>
      </c>
      <c r="T86" s="11" t="s">
        <v>157</v>
      </c>
      <c r="U86" s="5" t="s">
        <v>135</v>
      </c>
      <c r="V86" s="21">
        <f t="shared" si="72"/>
        <v>5278.5</v>
      </c>
      <c r="W86" s="21"/>
      <c r="X86" s="1">
        <f t="shared" si="73"/>
        <v>688.5</v>
      </c>
      <c r="Y86" s="22">
        <f t="shared" si="74"/>
        <v>4590</v>
      </c>
      <c r="Z86" s="22"/>
      <c r="AA86" s="54">
        <v>45</v>
      </c>
      <c r="AB86" s="55">
        <v>45</v>
      </c>
      <c r="AC86" s="2" t="s">
        <v>157</v>
      </c>
      <c r="AD86" s="6" t="s">
        <v>135</v>
      </c>
      <c r="AE86" s="11" t="s">
        <v>100</v>
      </c>
      <c r="AF86" s="5">
        <v>8</v>
      </c>
    </row>
    <row r="87" spans="3:32" ht="57" customHeight="1">
      <c r="C87" s="10">
        <f t="shared" si="78"/>
        <v>13041</v>
      </c>
      <c r="D87" s="21">
        <f t="shared" si="66"/>
        <v>4347</v>
      </c>
      <c r="E87" s="21"/>
      <c r="F87" s="1">
        <f t="shared" si="67"/>
        <v>567</v>
      </c>
      <c r="G87" s="22">
        <f t="shared" si="68"/>
        <v>3780</v>
      </c>
      <c r="H87" s="22"/>
      <c r="I87" s="54">
        <v>45</v>
      </c>
      <c r="J87" s="55">
        <v>45</v>
      </c>
      <c r="K87" s="4" t="s">
        <v>158</v>
      </c>
      <c r="L87" s="5" t="s">
        <v>135</v>
      </c>
      <c r="M87" s="21">
        <f t="shared" si="69"/>
        <v>4347</v>
      </c>
      <c r="N87" s="21"/>
      <c r="O87" s="1">
        <f t="shared" si="70"/>
        <v>567</v>
      </c>
      <c r="P87" s="22">
        <f t="shared" si="71"/>
        <v>3780</v>
      </c>
      <c r="Q87" s="22"/>
      <c r="R87" s="54">
        <v>45</v>
      </c>
      <c r="S87" s="56">
        <v>45</v>
      </c>
      <c r="T87" s="11" t="s">
        <v>158</v>
      </c>
      <c r="U87" s="5" t="s">
        <v>135</v>
      </c>
      <c r="V87" s="21">
        <f t="shared" si="72"/>
        <v>4347</v>
      </c>
      <c r="W87" s="21"/>
      <c r="X87" s="1">
        <f t="shared" si="73"/>
        <v>567</v>
      </c>
      <c r="Y87" s="22">
        <f t="shared" si="74"/>
        <v>3780</v>
      </c>
      <c r="Z87" s="22"/>
      <c r="AA87" s="54">
        <v>45</v>
      </c>
      <c r="AB87" s="55">
        <v>45</v>
      </c>
      <c r="AC87" s="2" t="s">
        <v>158</v>
      </c>
      <c r="AD87" s="6" t="s">
        <v>135</v>
      </c>
      <c r="AE87" s="11" t="s">
        <v>101</v>
      </c>
      <c r="AF87" s="5">
        <v>9</v>
      </c>
    </row>
    <row r="88" spans="3:32" ht="57" customHeight="1">
      <c r="C88" s="10">
        <f t="shared" si="78"/>
        <v>19095.75</v>
      </c>
      <c r="D88" s="21">
        <f t="shared" si="66"/>
        <v>6365.25</v>
      </c>
      <c r="E88" s="21"/>
      <c r="F88" s="1">
        <f t="shared" si="67"/>
        <v>830.25</v>
      </c>
      <c r="G88" s="22">
        <f t="shared" si="68"/>
        <v>5535</v>
      </c>
      <c r="H88" s="22"/>
      <c r="I88" s="54">
        <v>45</v>
      </c>
      <c r="J88" s="55">
        <v>45</v>
      </c>
      <c r="K88" s="4" t="s">
        <v>156</v>
      </c>
      <c r="L88" s="5" t="s">
        <v>135</v>
      </c>
      <c r="M88" s="21">
        <f t="shared" si="69"/>
        <v>6365.25</v>
      </c>
      <c r="N88" s="21"/>
      <c r="O88" s="1">
        <f t="shared" si="70"/>
        <v>830.25</v>
      </c>
      <c r="P88" s="22">
        <f t="shared" si="71"/>
        <v>5535</v>
      </c>
      <c r="Q88" s="22"/>
      <c r="R88" s="54">
        <v>45</v>
      </c>
      <c r="S88" s="56">
        <v>45</v>
      </c>
      <c r="T88" s="11" t="s">
        <v>156</v>
      </c>
      <c r="U88" s="5" t="s">
        <v>135</v>
      </c>
      <c r="V88" s="21">
        <f t="shared" si="72"/>
        <v>6365.25</v>
      </c>
      <c r="W88" s="21"/>
      <c r="X88" s="1">
        <f t="shared" si="73"/>
        <v>830.25</v>
      </c>
      <c r="Y88" s="22">
        <f t="shared" si="74"/>
        <v>5535</v>
      </c>
      <c r="Z88" s="22"/>
      <c r="AA88" s="54">
        <v>45</v>
      </c>
      <c r="AB88" s="55">
        <v>45</v>
      </c>
      <c r="AC88" s="2" t="s">
        <v>156</v>
      </c>
      <c r="AD88" s="6" t="s">
        <v>135</v>
      </c>
      <c r="AE88" s="11" t="s">
        <v>102</v>
      </c>
      <c r="AF88" s="5">
        <v>10</v>
      </c>
    </row>
    <row r="89" spans="3:32" ht="57" customHeight="1">
      <c r="C89" s="10">
        <f>D89+M89+V89</f>
        <v>10246.5</v>
      </c>
      <c r="D89" s="21">
        <f t="shared" si="66"/>
        <v>3415.5</v>
      </c>
      <c r="E89" s="21"/>
      <c r="F89" s="1">
        <f t="shared" si="67"/>
        <v>445.5</v>
      </c>
      <c r="G89" s="22">
        <f t="shared" si="68"/>
        <v>2970</v>
      </c>
      <c r="H89" s="22"/>
      <c r="I89" s="54">
        <v>45</v>
      </c>
      <c r="J89" s="55">
        <v>45</v>
      </c>
      <c r="K89" s="4" t="s">
        <v>159</v>
      </c>
      <c r="L89" s="5" t="s">
        <v>135</v>
      </c>
      <c r="M89" s="21">
        <f t="shared" si="69"/>
        <v>3415.5</v>
      </c>
      <c r="N89" s="21"/>
      <c r="O89" s="1">
        <f t="shared" si="70"/>
        <v>445.5</v>
      </c>
      <c r="P89" s="22">
        <f t="shared" si="71"/>
        <v>2970</v>
      </c>
      <c r="Q89" s="22"/>
      <c r="R89" s="54">
        <v>45</v>
      </c>
      <c r="S89" s="56">
        <v>45</v>
      </c>
      <c r="T89" s="11" t="s">
        <v>159</v>
      </c>
      <c r="U89" s="5" t="s">
        <v>135</v>
      </c>
      <c r="V89" s="21">
        <f t="shared" si="72"/>
        <v>3415.5</v>
      </c>
      <c r="W89" s="21"/>
      <c r="X89" s="1">
        <f t="shared" si="73"/>
        <v>445.5</v>
      </c>
      <c r="Y89" s="22">
        <f t="shared" si="74"/>
        <v>2970</v>
      </c>
      <c r="Z89" s="22"/>
      <c r="AA89" s="54">
        <v>45</v>
      </c>
      <c r="AB89" s="55">
        <v>45</v>
      </c>
      <c r="AC89" s="2" t="s">
        <v>159</v>
      </c>
      <c r="AD89" s="6" t="s">
        <v>135</v>
      </c>
      <c r="AE89" s="11" t="s">
        <v>103</v>
      </c>
      <c r="AF89" s="5">
        <v>11</v>
      </c>
    </row>
    <row r="90" spans="3:32" ht="57" customHeight="1">
      <c r="C90" s="10">
        <f t="shared" ref="C90:C92" si="79">D90+M90+V90</f>
        <v>20958.75</v>
      </c>
      <c r="D90" s="21">
        <f t="shared" si="66"/>
        <v>6986.25</v>
      </c>
      <c r="E90" s="21"/>
      <c r="F90" s="1">
        <f t="shared" si="67"/>
        <v>911.25</v>
      </c>
      <c r="G90" s="22">
        <f t="shared" si="68"/>
        <v>6075</v>
      </c>
      <c r="H90" s="22"/>
      <c r="I90" s="54">
        <v>45</v>
      </c>
      <c r="J90" s="55">
        <v>45</v>
      </c>
      <c r="K90" s="4" t="s">
        <v>160</v>
      </c>
      <c r="L90" s="5" t="s">
        <v>135</v>
      </c>
      <c r="M90" s="21">
        <f t="shared" si="69"/>
        <v>6986.25</v>
      </c>
      <c r="N90" s="21"/>
      <c r="O90" s="1">
        <f t="shared" si="70"/>
        <v>911.25</v>
      </c>
      <c r="P90" s="22">
        <f t="shared" si="71"/>
        <v>6075</v>
      </c>
      <c r="Q90" s="22"/>
      <c r="R90" s="54">
        <v>45</v>
      </c>
      <c r="S90" s="56">
        <v>45</v>
      </c>
      <c r="T90" s="11" t="s">
        <v>160</v>
      </c>
      <c r="U90" s="5" t="s">
        <v>135</v>
      </c>
      <c r="V90" s="21">
        <f t="shared" si="72"/>
        <v>6986.25</v>
      </c>
      <c r="W90" s="21"/>
      <c r="X90" s="1">
        <f t="shared" si="73"/>
        <v>911.25</v>
      </c>
      <c r="Y90" s="22">
        <f t="shared" si="74"/>
        <v>6075</v>
      </c>
      <c r="Z90" s="22"/>
      <c r="AA90" s="54">
        <v>45</v>
      </c>
      <c r="AB90" s="55">
        <v>45</v>
      </c>
      <c r="AC90" s="2" t="s">
        <v>160</v>
      </c>
      <c r="AD90" s="6" t="s">
        <v>135</v>
      </c>
      <c r="AE90" s="11" t="s">
        <v>104</v>
      </c>
      <c r="AF90" s="5">
        <v>12</v>
      </c>
    </row>
    <row r="91" spans="3:32" ht="57" customHeight="1">
      <c r="C91" s="10">
        <f t="shared" si="79"/>
        <v>48179.25</v>
      </c>
      <c r="D91" s="21">
        <f t="shared" si="66"/>
        <v>16059.75</v>
      </c>
      <c r="E91" s="21"/>
      <c r="F91" s="1">
        <f t="shared" si="67"/>
        <v>2094.75</v>
      </c>
      <c r="G91" s="22">
        <f t="shared" si="68"/>
        <v>13965</v>
      </c>
      <c r="H91" s="22"/>
      <c r="I91" s="54">
        <v>49</v>
      </c>
      <c r="J91" s="55">
        <v>49</v>
      </c>
      <c r="K91" s="4" t="s">
        <v>161</v>
      </c>
      <c r="L91" s="5" t="s">
        <v>135</v>
      </c>
      <c r="M91" s="21">
        <f t="shared" si="69"/>
        <v>16059.75</v>
      </c>
      <c r="N91" s="21"/>
      <c r="O91" s="1">
        <f t="shared" si="70"/>
        <v>2094.75</v>
      </c>
      <c r="P91" s="22">
        <f t="shared" si="71"/>
        <v>13965</v>
      </c>
      <c r="Q91" s="22"/>
      <c r="R91" s="54">
        <v>49</v>
      </c>
      <c r="S91" s="56">
        <v>49</v>
      </c>
      <c r="T91" s="11" t="s">
        <v>161</v>
      </c>
      <c r="U91" s="5" t="s">
        <v>135</v>
      </c>
      <c r="V91" s="21">
        <f t="shared" si="72"/>
        <v>16059.75</v>
      </c>
      <c r="W91" s="21"/>
      <c r="X91" s="1">
        <f t="shared" si="73"/>
        <v>2094.75</v>
      </c>
      <c r="Y91" s="22">
        <f t="shared" si="74"/>
        <v>13965</v>
      </c>
      <c r="Z91" s="22"/>
      <c r="AA91" s="54">
        <v>49</v>
      </c>
      <c r="AB91" s="55">
        <v>49</v>
      </c>
      <c r="AC91" s="2" t="s">
        <v>161</v>
      </c>
      <c r="AD91" s="6" t="s">
        <v>135</v>
      </c>
      <c r="AE91" s="11" t="s">
        <v>105</v>
      </c>
      <c r="AF91" s="5">
        <v>13</v>
      </c>
    </row>
    <row r="92" spans="3:32" ht="57" customHeight="1">
      <c r="C92" s="10">
        <f t="shared" si="79"/>
        <v>11705.849999999999</v>
      </c>
      <c r="D92" s="21">
        <f t="shared" si="66"/>
        <v>3901.95</v>
      </c>
      <c r="E92" s="21"/>
      <c r="F92" s="1">
        <f t="shared" si="67"/>
        <v>508.95</v>
      </c>
      <c r="G92" s="22">
        <f t="shared" si="68"/>
        <v>3393</v>
      </c>
      <c r="H92" s="22"/>
      <c r="I92" s="54">
        <v>39</v>
      </c>
      <c r="J92" s="55">
        <v>39</v>
      </c>
      <c r="K92" s="4" t="s">
        <v>162</v>
      </c>
      <c r="L92" s="5" t="s">
        <v>135</v>
      </c>
      <c r="M92" s="21">
        <f t="shared" si="69"/>
        <v>3901.95</v>
      </c>
      <c r="N92" s="21"/>
      <c r="O92" s="1">
        <f t="shared" si="70"/>
        <v>508.95</v>
      </c>
      <c r="P92" s="22">
        <f t="shared" si="71"/>
        <v>3393</v>
      </c>
      <c r="Q92" s="22"/>
      <c r="R92" s="54">
        <v>39</v>
      </c>
      <c r="S92" s="56">
        <v>39</v>
      </c>
      <c r="T92" s="11" t="s">
        <v>162</v>
      </c>
      <c r="U92" s="5" t="s">
        <v>135</v>
      </c>
      <c r="V92" s="21">
        <f t="shared" si="72"/>
        <v>3901.95</v>
      </c>
      <c r="W92" s="21"/>
      <c r="X92" s="1">
        <f t="shared" si="73"/>
        <v>508.95</v>
      </c>
      <c r="Y92" s="22">
        <f t="shared" si="74"/>
        <v>3393</v>
      </c>
      <c r="Z92" s="22"/>
      <c r="AA92" s="54">
        <v>39</v>
      </c>
      <c r="AB92" s="55">
        <v>39</v>
      </c>
      <c r="AC92" s="2" t="s">
        <v>162</v>
      </c>
      <c r="AD92" s="6" t="s">
        <v>135</v>
      </c>
      <c r="AE92" s="11" t="s">
        <v>106</v>
      </c>
      <c r="AF92" s="5">
        <v>14</v>
      </c>
    </row>
    <row r="93" spans="3:32" ht="57" customHeight="1">
      <c r="C93" s="10">
        <f>D93+M93+V93</f>
        <v>8476.6500000000015</v>
      </c>
      <c r="D93" s="21">
        <f t="shared" si="66"/>
        <v>2825.55</v>
      </c>
      <c r="E93" s="21"/>
      <c r="F93" s="1">
        <f t="shared" si="67"/>
        <v>368.55</v>
      </c>
      <c r="G93" s="22">
        <f t="shared" si="68"/>
        <v>2457</v>
      </c>
      <c r="H93" s="22"/>
      <c r="I93" s="54">
        <v>39</v>
      </c>
      <c r="J93" s="55">
        <v>39</v>
      </c>
      <c r="K93" s="4" t="s">
        <v>163</v>
      </c>
      <c r="L93" s="5" t="s">
        <v>135</v>
      </c>
      <c r="M93" s="21">
        <f t="shared" si="69"/>
        <v>2825.55</v>
      </c>
      <c r="N93" s="21"/>
      <c r="O93" s="1">
        <f t="shared" si="70"/>
        <v>368.55</v>
      </c>
      <c r="P93" s="22">
        <f t="shared" si="71"/>
        <v>2457</v>
      </c>
      <c r="Q93" s="22"/>
      <c r="R93" s="54">
        <v>39</v>
      </c>
      <c r="S93" s="56">
        <v>39</v>
      </c>
      <c r="T93" s="11" t="s">
        <v>163</v>
      </c>
      <c r="U93" s="5" t="s">
        <v>135</v>
      </c>
      <c r="V93" s="21">
        <f t="shared" si="72"/>
        <v>2825.55</v>
      </c>
      <c r="W93" s="21"/>
      <c r="X93" s="1">
        <f t="shared" si="73"/>
        <v>368.55</v>
      </c>
      <c r="Y93" s="22">
        <f t="shared" si="74"/>
        <v>2457</v>
      </c>
      <c r="Z93" s="22"/>
      <c r="AA93" s="54">
        <v>39</v>
      </c>
      <c r="AB93" s="55">
        <v>39</v>
      </c>
      <c r="AC93" s="2" t="s">
        <v>163</v>
      </c>
      <c r="AD93" s="6" t="s">
        <v>135</v>
      </c>
      <c r="AE93" s="11" t="s">
        <v>107</v>
      </c>
      <c r="AF93" s="5"/>
    </row>
    <row r="94" spans="3:32" ht="57" customHeight="1">
      <c r="C94" s="10">
        <f t="shared" ref="C94:C97" si="80">D94+M94+V94</f>
        <v>22356</v>
      </c>
      <c r="D94" s="21">
        <f t="shared" si="66"/>
        <v>7452</v>
      </c>
      <c r="E94" s="21"/>
      <c r="F94" s="1">
        <f t="shared" si="67"/>
        <v>972</v>
      </c>
      <c r="G94" s="22">
        <f t="shared" si="68"/>
        <v>6480</v>
      </c>
      <c r="H94" s="22"/>
      <c r="I94" s="54">
        <v>45</v>
      </c>
      <c r="J94" s="55">
        <v>45</v>
      </c>
      <c r="K94" s="4" t="s">
        <v>164</v>
      </c>
      <c r="L94" s="5" t="s">
        <v>135</v>
      </c>
      <c r="M94" s="21">
        <f t="shared" si="69"/>
        <v>7452</v>
      </c>
      <c r="N94" s="21"/>
      <c r="O94" s="1">
        <f t="shared" si="70"/>
        <v>972</v>
      </c>
      <c r="P94" s="22">
        <f t="shared" si="71"/>
        <v>6480</v>
      </c>
      <c r="Q94" s="22"/>
      <c r="R94" s="54">
        <v>45</v>
      </c>
      <c r="S94" s="56">
        <v>45</v>
      </c>
      <c r="T94" s="11" t="s">
        <v>164</v>
      </c>
      <c r="U94" s="5" t="s">
        <v>135</v>
      </c>
      <c r="V94" s="21">
        <f t="shared" si="72"/>
        <v>7452</v>
      </c>
      <c r="W94" s="21"/>
      <c r="X94" s="1">
        <f t="shared" si="73"/>
        <v>972</v>
      </c>
      <c r="Y94" s="22">
        <f t="shared" si="74"/>
        <v>6480</v>
      </c>
      <c r="Z94" s="22"/>
      <c r="AA94" s="54">
        <v>45</v>
      </c>
      <c r="AB94" s="55">
        <v>45</v>
      </c>
      <c r="AC94" s="2" t="s">
        <v>164</v>
      </c>
      <c r="AD94" s="6" t="s">
        <v>135</v>
      </c>
      <c r="AE94" s="11" t="s">
        <v>108</v>
      </c>
    </row>
    <row r="95" spans="3:32" ht="57" customHeight="1">
      <c r="C95" s="10">
        <f t="shared" si="80"/>
        <v>6862.0499999999993</v>
      </c>
      <c r="D95" s="21">
        <f t="shared" si="66"/>
        <v>2287.35</v>
      </c>
      <c r="E95" s="21"/>
      <c r="F95" s="1">
        <f t="shared" si="67"/>
        <v>298.34999999999997</v>
      </c>
      <c r="G95" s="22">
        <f t="shared" si="68"/>
        <v>1989</v>
      </c>
      <c r="H95" s="22"/>
      <c r="I95" s="54">
        <v>39</v>
      </c>
      <c r="J95" s="55">
        <v>39</v>
      </c>
      <c r="K95" s="4" t="s">
        <v>165</v>
      </c>
      <c r="L95" s="5" t="s">
        <v>135</v>
      </c>
      <c r="M95" s="21">
        <f t="shared" si="69"/>
        <v>2287.35</v>
      </c>
      <c r="N95" s="21"/>
      <c r="O95" s="1">
        <f t="shared" si="70"/>
        <v>298.34999999999997</v>
      </c>
      <c r="P95" s="22">
        <f t="shared" si="71"/>
        <v>1989</v>
      </c>
      <c r="Q95" s="22"/>
      <c r="R95" s="54">
        <v>39</v>
      </c>
      <c r="S95" s="56">
        <v>39</v>
      </c>
      <c r="T95" s="11" t="s">
        <v>165</v>
      </c>
      <c r="U95" s="5" t="s">
        <v>135</v>
      </c>
      <c r="V95" s="21">
        <f t="shared" si="72"/>
        <v>2287.35</v>
      </c>
      <c r="W95" s="21"/>
      <c r="X95" s="1">
        <f t="shared" si="73"/>
        <v>298.34999999999997</v>
      </c>
      <c r="Y95" s="22">
        <f t="shared" si="74"/>
        <v>1989</v>
      </c>
      <c r="Z95" s="22"/>
      <c r="AA95" s="54">
        <v>39</v>
      </c>
      <c r="AB95" s="55">
        <v>39</v>
      </c>
      <c r="AC95" s="2" t="s">
        <v>165</v>
      </c>
      <c r="AD95" s="6" t="s">
        <v>135</v>
      </c>
      <c r="AE95" s="11" t="s">
        <v>109</v>
      </c>
    </row>
    <row r="96" spans="3:32" ht="57" customHeight="1">
      <c r="C96" s="10">
        <f t="shared" si="80"/>
        <v>8880.2999999999993</v>
      </c>
      <c r="D96" s="21">
        <f t="shared" si="66"/>
        <v>2960.1</v>
      </c>
      <c r="E96" s="21"/>
      <c r="F96" s="1">
        <f t="shared" si="67"/>
        <v>386.09999999999997</v>
      </c>
      <c r="G96" s="22">
        <f t="shared" si="68"/>
        <v>2574</v>
      </c>
      <c r="H96" s="22"/>
      <c r="I96" s="54">
        <v>39</v>
      </c>
      <c r="J96" s="55">
        <v>39</v>
      </c>
      <c r="K96" s="4" t="s">
        <v>159</v>
      </c>
      <c r="L96" s="5" t="s">
        <v>135</v>
      </c>
      <c r="M96" s="21">
        <f t="shared" si="69"/>
        <v>2960.1</v>
      </c>
      <c r="N96" s="21"/>
      <c r="O96" s="1">
        <f t="shared" si="70"/>
        <v>386.09999999999997</v>
      </c>
      <c r="P96" s="22">
        <f t="shared" si="71"/>
        <v>2574</v>
      </c>
      <c r="Q96" s="22"/>
      <c r="R96" s="54">
        <v>39</v>
      </c>
      <c r="S96" s="56">
        <v>39</v>
      </c>
      <c r="T96" s="11" t="s">
        <v>159</v>
      </c>
      <c r="U96" s="5" t="s">
        <v>135</v>
      </c>
      <c r="V96" s="21">
        <f t="shared" si="72"/>
        <v>2960.1</v>
      </c>
      <c r="W96" s="21"/>
      <c r="X96" s="1">
        <f t="shared" si="73"/>
        <v>386.09999999999997</v>
      </c>
      <c r="Y96" s="22">
        <f t="shared" si="74"/>
        <v>2574</v>
      </c>
      <c r="Z96" s="22"/>
      <c r="AA96" s="54">
        <v>39</v>
      </c>
      <c r="AB96" s="55">
        <v>39</v>
      </c>
      <c r="AC96" s="2" t="s">
        <v>159</v>
      </c>
      <c r="AD96" s="6" t="s">
        <v>135</v>
      </c>
      <c r="AE96" s="11" t="s">
        <v>110</v>
      </c>
    </row>
    <row r="97" spans="3:31" ht="57" customHeight="1">
      <c r="C97" s="10">
        <f t="shared" si="80"/>
        <v>6365.25</v>
      </c>
      <c r="D97" s="21">
        <f t="shared" si="66"/>
        <v>2121.75</v>
      </c>
      <c r="E97" s="21"/>
      <c r="F97" s="1">
        <f t="shared" si="67"/>
        <v>276.75</v>
      </c>
      <c r="G97" s="22">
        <f t="shared" si="68"/>
        <v>1845</v>
      </c>
      <c r="H97" s="22"/>
      <c r="I97" s="54">
        <v>41</v>
      </c>
      <c r="J97" s="55">
        <v>41</v>
      </c>
      <c r="K97" s="4" t="s">
        <v>166</v>
      </c>
      <c r="L97" s="5" t="s">
        <v>135</v>
      </c>
      <c r="M97" s="21">
        <f t="shared" si="69"/>
        <v>2121.75</v>
      </c>
      <c r="N97" s="21"/>
      <c r="O97" s="1">
        <f t="shared" si="70"/>
        <v>276.75</v>
      </c>
      <c r="P97" s="22">
        <f t="shared" si="71"/>
        <v>1845</v>
      </c>
      <c r="Q97" s="22"/>
      <c r="R97" s="54">
        <v>41</v>
      </c>
      <c r="S97" s="56">
        <v>41</v>
      </c>
      <c r="T97" s="11" t="s">
        <v>166</v>
      </c>
      <c r="U97" s="5" t="s">
        <v>135</v>
      </c>
      <c r="V97" s="21">
        <f t="shared" si="72"/>
        <v>2121.75</v>
      </c>
      <c r="W97" s="21"/>
      <c r="X97" s="1">
        <f t="shared" si="73"/>
        <v>276.75</v>
      </c>
      <c r="Y97" s="22">
        <f t="shared" si="74"/>
        <v>1845</v>
      </c>
      <c r="Z97" s="22"/>
      <c r="AA97" s="54">
        <v>41</v>
      </c>
      <c r="AB97" s="55">
        <v>41</v>
      </c>
      <c r="AC97" s="2" t="s">
        <v>166</v>
      </c>
      <c r="AD97" s="6" t="s">
        <v>135</v>
      </c>
      <c r="AE97" s="11" t="s">
        <v>111</v>
      </c>
    </row>
    <row r="98" spans="3:31" ht="57" customHeight="1">
      <c r="C98" s="10">
        <f>D98+M98+V98</f>
        <v>2121.75</v>
      </c>
      <c r="D98" s="21">
        <f t="shared" si="66"/>
        <v>707.25</v>
      </c>
      <c r="E98" s="21"/>
      <c r="F98" s="1">
        <f t="shared" si="67"/>
        <v>92.25</v>
      </c>
      <c r="G98" s="22">
        <f t="shared" si="68"/>
        <v>615</v>
      </c>
      <c r="H98" s="22"/>
      <c r="I98" s="54">
        <v>41</v>
      </c>
      <c r="J98" s="55">
        <v>41</v>
      </c>
      <c r="K98" s="4" t="s">
        <v>167</v>
      </c>
      <c r="L98" s="5" t="s">
        <v>135</v>
      </c>
      <c r="M98" s="21">
        <f t="shared" si="69"/>
        <v>707.25</v>
      </c>
      <c r="N98" s="21"/>
      <c r="O98" s="1">
        <f t="shared" si="70"/>
        <v>92.25</v>
      </c>
      <c r="P98" s="22">
        <f t="shared" si="71"/>
        <v>615</v>
      </c>
      <c r="Q98" s="22"/>
      <c r="R98" s="54">
        <v>41</v>
      </c>
      <c r="S98" s="56">
        <v>41</v>
      </c>
      <c r="T98" s="11" t="s">
        <v>167</v>
      </c>
      <c r="U98" s="5" t="s">
        <v>135</v>
      </c>
      <c r="V98" s="21">
        <f t="shared" si="72"/>
        <v>707.25</v>
      </c>
      <c r="W98" s="21"/>
      <c r="X98" s="1">
        <f t="shared" si="73"/>
        <v>92.25</v>
      </c>
      <c r="Y98" s="22">
        <f t="shared" si="74"/>
        <v>615</v>
      </c>
      <c r="Z98" s="22"/>
      <c r="AA98" s="54">
        <v>41</v>
      </c>
      <c r="AB98" s="55">
        <v>41</v>
      </c>
      <c r="AC98" s="2" t="s">
        <v>167</v>
      </c>
      <c r="AD98" s="6" t="s">
        <v>135</v>
      </c>
      <c r="AE98" s="11" t="s">
        <v>112</v>
      </c>
    </row>
    <row r="99" spans="3:31" ht="57" customHeight="1">
      <c r="C99" s="10">
        <f t="shared" ref="C99:C102" si="81">D99+M99+V99</f>
        <v>5092.2000000000007</v>
      </c>
      <c r="D99" s="21">
        <f t="shared" si="66"/>
        <v>1697.4</v>
      </c>
      <c r="E99" s="21"/>
      <c r="F99" s="1">
        <f t="shared" si="67"/>
        <v>221.4</v>
      </c>
      <c r="G99" s="22">
        <f t="shared" si="68"/>
        <v>1476</v>
      </c>
      <c r="H99" s="22"/>
      <c r="I99" s="54">
        <v>41</v>
      </c>
      <c r="J99" s="55">
        <v>41</v>
      </c>
      <c r="K99" s="4" t="s">
        <v>168</v>
      </c>
      <c r="L99" s="5" t="s">
        <v>135</v>
      </c>
      <c r="M99" s="21">
        <f t="shared" si="69"/>
        <v>1697.4</v>
      </c>
      <c r="N99" s="21"/>
      <c r="O99" s="1">
        <f t="shared" si="70"/>
        <v>221.4</v>
      </c>
      <c r="P99" s="22">
        <f t="shared" si="71"/>
        <v>1476</v>
      </c>
      <c r="Q99" s="22"/>
      <c r="R99" s="54">
        <v>41</v>
      </c>
      <c r="S99" s="56">
        <v>41</v>
      </c>
      <c r="T99" s="11" t="s">
        <v>168</v>
      </c>
      <c r="U99" s="5" t="s">
        <v>135</v>
      </c>
      <c r="V99" s="21">
        <f t="shared" si="72"/>
        <v>1697.4</v>
      </c>
      <c r="W99" s="21"/>
      <c r="X99" s="1">
        <f t="shared" si="73"/>
        <v>221.4</v>
      </c>
      <c r="Y99" s="22">
        <f t="shared" si="74"/>
        <v>1476</v>
      </c>
      <c r="Z99" s="22"/>
      <c r="AA99" s="54">
        <v>41</v>
      </c>
      <c r="AB99" s="55">
        <v>41</v>
      </c>
      <c r="AC99" s="2" t="s">
        <v>168</v>
      </c>
      <c r="AD99" s="6" t="s">
        <v>135</v>
      </c>
      <c r="AE99" s="11" t="s">
        <v>113</v>
      </c>
    </row>
    <row r="100" spans="3:31" ht="57" customHeight="1">
      <c r="C100" s="10">
        <f t="shared" si="81"/>
        <v>2121.75</v>
      </c>
      <c r="D100" s="21">
        <f t="shared" si="66"/>
        <v>707.25</v>
      </c>
      <c r="E100" s="21"/>
      <c r="F100" s="1">
        <f t="shared" si="67"/>
        <v>92.25</v>
      </c>
      <c r="G100" s="22">
        <f t="shared" si="68"/>
        <v>615</v>
      </c>
      <c r="H100" s="22"/>
      <c r="I100" s="54">
        <v>41</v>
      </c>
      <c r="J100" s="55">
        <v>41</v>
      </c>
      <c r="K100" s="4" t="s">
        <v>167</v>
      </c>
      <c r="L100" s="5" t="s">
        <v>135</v>
      </c>
      <c r="M100" s="21">
        <f t="shared" si="69"/>
        <v>707.25</v>
      </c>
      <c r="N100" s="21"/>
      <c r="O100" s="1">
        <f t="shared" si="70"/>
        <v>92.25</v>
      </c>
      <c r="P100" s="22">
        <f t="shared" si="71"/>
        <v>615</v>
      </c>
      <c r="Q100" s="22"/>
      <c r="R100" s="54">
        <v>41</v>
      </c>
      <c r="S100" s="56">
        <v>41</v>
      </c>
      <c r="T100" s="11" t="s">
        <v>167</v>
      </c>
      <c r="U100" s="5" t="s">
        <v>135</v>
      </c>
      <c r="V100" s="21">
        <f t="shared" si="72"/>
        <v>707.25</v>
      </c>
      <c r="W100" s="21"/>
      <c r="X100" s="1">
        <f t="shared" si="73"/>
        <v>92.25</v>
      </c>
      <c r="Y100" s="22">
        <f t="shared" si="74"/>
        <v>615</v>
      </c>
      <c r="Z100" s="22"/>
      <c r="AA100" s="54">
        <v>41</v>
      </c>
      <c r="AB100" s="55">
        <v>41</v>
      </c>
      <c r="AC100" s="2" t="s">
        <v>167</v>
      </c>
      <c r="AD100" s="6" t="s">
        <v>135</v>
      </c>
      <c r="AE100" s="11" t="s">
        <v>114</v>
      </c>
    </row>
    <row r="101" spans="3:31" ht="57" customHeight="1">
      <c r="C101" s="10">
        <f t="shared" si="81"/>
        <v>4667.8500000000004</v>
      </c>
      <c r="D101" s="21">
        <f t="shared" si="66"/>
        <v>1555.95</v>
      </c>
      <c r="E101" s="21"/>
      <c r="F101" s="1">
        <f t="shared" si="67"/>
        <v>202.95</v>
      </c>
      <c r="G101" s="22">
        <f t="shared" si="68"/>
        <v>1353</v>
      </c>
      <c r="H101" s="22"/>
      <c r="I101" s="54">
        <v>41</v>
      </c>
      <c r="J101" s="55">
        <v>41</v>
      </c>
      <c r="K101" s="4" t="s">
        <v>76</v>
      </c>
      <c r="L101" s="5" t="s">
        <v>135</v>
      </c>
      <c r="M101" s="21">
        <f t="shared" si="69"/>
        <v>1555.95</v>
      </c>
      <c r="N101" s="21"/>
      <c r="O101" s="1">
        <f t="shared" si="70"/>
        <v>202.95</v>
      </c>
      <c r="P101" s="22">
        <f t="shared" si="71"/>
        <v>1353</v>
      </c>
      <c r="Q101" s="22"/>
      <c r="R101" s="54">
        <v>41</v>
      </c>
      <c r="S101" s="56">
        <v>41</v>
      </c>
      <c r="T101" s="11" t="s">
        <v>76</v>
      </c>
      <c r="U101" s="5" t="s">
        <v>135</v>
      </c>
      <c r="V101" s="21">
        <f t="shared" si="72"/>
        <v>1555.95</v>
      </c>
      <c r="W101" s="21"/>
      <c r="X101" s="1">
        <f t="shared" si="73"/>
        <v>202.95</v>
      </c>
      <c r="Y101" s="22">
        <f t="shared" si="74"/>
        <v>1353</v>
      </c>
      <c r="Z101" s="22"/>
      <c r="AA101" s="54">
        <v>41</v>
      </c>
      <c r="AB101" s="55">
        <v>41</v>
      </c>
      <c r="AC101" s="2" t="s">
        <v>76</v>
      </c>
      <c r="AD101" s="6" t="s">
        <v>135</v>
      </c>
      <c r="AE101" s="11" t="s">
        <v>115</v>
      </c>
    </row>
    <row r="102" spans="3:31" ht="57" customHeight="1">
      <c r="C102" s="10">
        <f t="shared" si="81"/>
        <v>2121.75</v>
      </c>
      <c r="D102" s="21">
        <f t="shared" si="66"/>
        <v>707.25</v>
      </c>
      <c r="E102" s="21"/>
      <c r="F102" s="1">
        <f t="shared" si="67"/>
        <v>92.25</v>
      </c>
      <c r="G102" s="22">
        <f t="shared" si="68"/>
        <v>615</v>
      </c>
      <c r="H102" s="22"/>
      <c r="I102" s="54">
        <v>41</v>
      </c>
      <c r="J102" s="55">
        <v>41</v>
      </c>
      <c r="K102" s="4" t="s">
        <v>167</v>
      </c>
      <c r="L102" s="5" t="s">
        <v>135</v>
      </c>
      <c r="M102" s="21">
        <f t="shared" si="69"/>
        <v>707.25</v>
      </c>
      <c r="N102" s="21"/>
      <c r="O102" s="1">
        <f t="shared" si="70"/>
        <v>92.25</v>
      </c>
      <c r="P102" s="22">
        <f t="shared" si="71"/>
        <v>615</v>
      </c>
      <c r="Q102" s="22"/>
      <c r="R102" s="54">
        <v>41</v>
      </c>
      <c r="S102" s="56">
        <v>41</v>
      </c>
      <c r="T102" s="11" t="s">
        <v>167</v>
      </c>
      <c r="U102" s="5" t="s">
        <v>135</v>
      </c>
      <c r="V102" s="21">
        <f t="shared" si="72"/>
        <v>707.25</v>
      </c>
      <c r="W102" s="21"/>
      <c r="X102" s="1">
        <f t="shared" si="73"/>
        <v>92.25</v>
      </c>
      <c r="Y102" s="22">
        <f t="shared" si="74"/>
        <v>615</v>
      </c>
      <c r="Z102" s="22"/>
      <c r="AA102" s="54">
        <v>41</v>
      </c>
      <c r="AB102" s="55">
        <v>41</v>
      </c>
      <c r="AC102" s="2" t="s">
        <v>167</v>
      </c>
      <c r="AD102" s="6" t="s">
        <v>135</v>
      </c>
      <c r="AE102" s="11" t="s">
        <v>116</v>
      </c>
    </row>
    <row r="103" spans="3:31" ht="57" customHeight="1">
      <c r="C103" s="10">
        <f>D103+M103+V103</f>
        <v>2546.1000000000004</v>
      </c>
      <c r="D103" s="21">
        <f t="shared" si="66"/>
        <v>848.7</v>
      </c>
      <c r="E103" s="21"/>
      <c r="F103" s="1">
        <f t="shared" si="67"/>
        <v>110.7</v>
      </c>
      <c r="G103" s="22">
        <f t="shared" si="68"/>
        <v>738</v>
      </c>
      <c r="H103" s="22"/>
      <c r="I103" s="54">
        <v>41</v>
      </c>
      <c r="J103" s="55">
        <v>41</v>
      </c>
      <c r="K103" s="4" t="s">
        <v>40</v>
      </c>
      <c r="L103" s="5" t="s">
        <v>135</v>
      </c>
      <c r="M103" s="21">
        <f t="shared" si="69"/>
        <v>848.7</v>
      </c>
      <c r="N103" s="21"/>
      <c r="O103" s="1">
        <f t="shared" si="70"/>
        <v>110.7</v>
      </c>
      <c r="P103" s="22">
        <f t="shared" si="71"/>
        <v>738</v>
      </c>
      <c r="Q103" s="22"/>
      <c r="R103" s="54">
        <v>41</v>
      </c>
      <c r="S103" s="56">
        <v>41</v>
      </c>
      <c r="T103" s="11" t="s">
        <v>40</v>
      </c>
      <c r="U103" s="5" t="s">
        <v>135</v>
      </c>
      <c r="V103" s="21">
        <f t="shared" si="72"/>
        <v>848.7</v>
      </c>
      <c r="W103" s="21"/>
      <c r="X103" s="1">
        <f t="shared" si="73"/>
        <v>110.7</v>
      </c>
      <c r="Y103" s="22">
        <f t="shared" si="74"/>
        <v>738</v>
      </c>
      <c r="Z103" s="22"/>
      <c r="AA103" s="54">
        <v>41</v>
      </c>
      <c r="AB103" s="55">
        <v>41</v>
      </c>
      <c r="AC103" s="2" t="s">
        <v>40</v>
      </c>
      <c r="AD103" s="6" t="s">
        <v>135</v>
      </c>
      <c r="AE103" s="11" t="s">
        <v>117</v>
      </c>
    </row>
    <row r="104" spans="3:31" ht="57" customHeight="1">
      <c r="C104" s="10">
        <f t="shared" ref="C104:C106" si="82">D104+M104+V104</f>
        <v>2121.75</v>
      </c>
      <c r="D104" s="21">
        <f t="shared" si="66"/>
        <v>707.25</v>
      </c>
      <c r="E104" s="21"/>
      <c r="F104" s="1">
        <f t="shared" si="67"/>
        <v>92.25</v>
      </c>
      <c r="G104" s="22">
        <f t="shared" si="68"/>
        <v>615</v>
      </c>
      <c r="H104" s="22"/>
      <c r="I104" s="54">
        <v>41</v>
      </c>
      <c r="J104" s="55">
        <v>41</v>
      </c>
      <c r="K104" s="4" t="s">
        <v>167</v>
      </c>
      <c r="L104" s="5" t="s">
        <v>135</v>
      </c>
      <c r="M104" s="21">
        <f t="shared" si="69"/>
        <v>707.25</v>
      </c>
      <c r="N104" s="21"/>
      <c r="O104" s="1">
        <f t="shared" si="70"/>
        <v>92.25</v>
      </c>
      <c r="P104" s="22">
        <f t="shared" si="71"/>
        <v>615</v>
      </c>
      <c r="Q104" s="22"/>
      <c r="R104" s="54">
        <v>41</v>
      </c>
      <c r="S104" s="56">
        <v>41</v>
      </c>
      <c r="T104" s="11" t="s">
        <v>167</v>
      </c>
      <c r="U104" s="5" t="s">
        <v>135</v>
      </c>
      <c r="V104" s="21">
        <f t="shared" si="72"/>
        <v>707.25</v>
      </c>
      <c r="W104" s="21"/>
      <c r="X104" s="1">
        <f t="shared" si="73"/>
        <v>92.25</v>
      </c>
      <c r="Y104" s="22">
        <f t="shared" si="74"/>
        <v>615</v>
      </c>
      <c r="Z104" s="22"/>
      <c r="AA104" s="54">
        <v>41</v>
      </c>
      <c r="AB104" s="55">
        <v>41</v>
      </c>
      <c r="AC104" s="2" t="s">
        <v>167</v>
      </c>
      <c r="AD104" s="6" t="s">
        <v>135</v>
      </c>
      <c r="AE104" s="11" t="s">
        <v>118</v>
      </c>
    </row>
    <row r="105" spans="3:31" ht="57" customHeight="1">
      <c r="C105" s="10">
        <f t="shared" si="82"/>
        <v>5516.5499999999993</v>
      </c>
      <c r="D105" s="21">
        <f t="shared" si="66"/>
        <v>1838.85</v>
      </c>
      <c r="E105" s="21"/>
      <c r="F105" s="1">
        <f t="shared" si="67"/>
        <v>239.85</v>
      </c>
      <c r="G105" s="22">
        <f t="shared" si="68"/>
        <v>1599</v>
      </c>
      <c r="H105" s="22"/>
      <c r="I105" s="54">
        <v>41</v>
      </c>
      <c r="J105" s="55">
        <v>41</v>
      </c>
      <c r="K105" s="4" t="s">
        <v>169</v>
      </c>
      <c r="L105" s="5" t="s">
        <v>135</v>
      </c>
      <c r="M105" s="21">
        <f t="shared" si="69"/>
        <v>1838.85</v>
      </c>
      <c r="N105" s="21"/>
      <c r="O105" s="1">
        <f t="shared" si="70"/>
        <v>239.85</v>
      </c>
      <c r="P105" s="22">
        <f t="shared" si="71"/>
        <v>1599</v>
      </c>
      <c r="Q105" s="22"/>
      <c r="R105" s="54">
        <v>41</v>
      </c>
      <c r="S105" s="56">
        <v>41</v>
      </c>
      <c r="T105" s="11" t="s">
        <v>169</v>
      </c>
      <c r="U105" s="5" t="s">
        <v>135</v>
      </c>
      <c r="V105" s="21">
        <f t="shared" si="72"/>
        <v>1838.85</v>
      </c>
      <c r="W105" s="21"/>
      <c r="X105" s="1">
        <f t="shared" si="73"/>
        <v>239.85</v>
      </c>
      <c r="Y105" s="22">
        <f t="shared" si="74"/>
        <v>1599</v>
      </c>
      <c r="Z105" s="22"/>
      <c r="AA105" s="54">
        <v>41</v>
      </c>
      <c r="AB105" s="55">
        <v>41</v>
      </c>
      <c r="AC105" s="2" t="s">
        <v>169</v>
      </c>
      <c r="AD105" s="6" t="s">
        <v>135</v>
      </c>
      <c r="AE105" s="11" t="s">
        <v>119</v>
      </c>
    </row>
    <row r="106" spans="3:31" ht="57" customHeight="1">
      <c r="C106" s="10">
        <f t="shared" si="82"/>
        <v>2121.75</v>
      </c>
      <c r="D106" s="21">
        <f t="shared" si="66"/>
        <v>707.25</v>
      </c>
      <c r="E106" s="21"/>
      <c r="F106" s="1">
        <f t="shared" si="67"/>
        <v>92.25</v>
      </c>
      <c r="G106" s="22">
        <f t="shared" si="68"/>
        <v>615</v>
      </c>
      <c r="H106" s="22"/>
      <c r="I106" s="54">
        <v>41</v>
      </c>
      <c r="J106" s="55">
        <v>41</v>
      </c>
      <c r="K106" s="4" t="s">
        <v>167</v>
      </c>
      <c r="L106" s="5" t="s">
        <v>135</v>
      </c>
      <c r="M106" s="21">
        <f t="shared" si="69"/>
        <v>707.25</v>
      </c>
      <c r="N106" s="21"/>
      <c r="O106" s="1">
        <f t="shared" si="70"/>
        <v>92.25</v>
      </c>
      <c r="P106" s="22">
        <f t="shared" si="71"/>
        <v>615</v>
      </c>
      <c r="Q106" s="22"/>
      <c r="R106" s="54">
        <v>41</v>
      </c>
      <c r="S106" s="56">
        <v>41</v>
      </c>
      <c r="T106" s="11" t="s">
        <v>167</v>
      </c>
      <c r="U106" s="5" t="s">
        <v>135</v>
      </c>
      <c r="V106" s="21">
        <f t="shared" si="72"/>
        <v>707.25</v>
      </c>
      <c r="W106" s="21"/>
      <c r="X106" s="1">
        <f t="shared" si="73"/>
        <v>92.25</v>
      </c>
      <c r="Y106" s="22">
        <f t="shared" si="74"/>
        <v>615</v>
      </c>
      <c r="Z106" s="22"/>
      <c r="AA106" s="54">
        <v>41</v>
      </c>
      <c r="AB106" s="55">
        <v>41</v>
      </c>
      <c r="AC106" s="2" t="s">
        <v>167</v>
      </c>
      <c r="AD106" s="6" t="s">
        <v>135</v>
      </c>
      <c r="AE106" s="11" t="s">
        <v>120</v>
      </c>
    </row>
    <row r="107" spans="3:31" ht="57" customHeight="1">
      <c r="C107" s="10">
        <f>D107+M107+V107</f>
        <v>1697.3999999999999</v>
      </c>
      <c r="D107" s="21">
        <f t="shared" si="66"/>
        <v>565.79999999999995</v>
      </c>
      <c r="E107" s="21"/>
      <c r="F107" s="1">
        <f t="shared" si="67"/>
        <v>73.8</v>
      </c>
      <c r="G107" s="22">
        <f t="shared" si="68"/>
        <v>492</v>
      </c>
      <c r="H107" s="22"/>
      <c r="I107" s="54">
        <v>41</v>
      </c>
      <c r="J107" s="55">
        <v>41</v>
      </c>
      <c r="K107" s="4" t="s">
        <v>37</v>
      </c>
      <c r="L107" s="5" t="s">
        <v>135</v>
      </c>
      <c r="M107" s="21">
        <f t="shared" si="69"/>
        <v>565.79999999999995</v>
      </c>
      <c r="N107" s="21"/>
      <c r="O107" s="1">
        <f t="shared" si="70"/>
        <v>73.8</v>
      </c>
      <c r="P107" s="22">
        <f t="shared" si="71"/>
        <v>492</v>
      </c>
      <c r="Q107" s="22"/>
      <c r="R107" s="54">
        <v>41</v>
      </c>
      <c r="S107" s="56">
        <v>41</v>
      </c>
      <c r="T107" s="11" t="s">
        <v>37</v>
      </c>
      <c r="U107" s="5" t="s">
        <v>135</v>
      </c>
      <c r="V107" s="21">
        <f t="shared" si="72"/>
        <v>565.79999999999995</v>
      </c>
      <c r="W107" s="21"/>
      <c r="X107" s="1">
        <f t="shared" si="73"/>
        <v>73.8</v>
      </c>
      <c r="Y107" s="22">
        <f t="shared" si="74"/>
        <v>492</v>
      </c>
      <c r="Z107" s="22"/>
      <c r="AA107" s="54">
        <v>41</v>
      </c>
      <c r="AB107" s="55">
        <v>41</v>
      </c>
      <c r="AC107" s="2" t="s">
        <v>37</v>
      </c>
      <c r="AD107" s="6" t="s">
        <v>135</v>
      </c>
      <c r="AE107" s="11" t="s">
        <v>121</v>
      </c>
    </row>
    <row r="108" spans="3:31" ht="57" customHeight="1">
      <c r="C108" s="10">
        <f t="shared" ref="C108:C111" si="83">D108+M108+V108</f>
        <v>1273.0500000000002</v>
      </c>
      <c r="D108" s="21">
        <f t="shared" si="66"/>
        <v>424.35</v>
      </c>
      <c r="E108" s="21"/>
      <c r="F108" s="1">
        <f t="shared" si="67"/>
        <v>55.35</v>
      </c>
      <c r="G108" s="22">
        <f t="shared" si="68"/>
        <v>369</v>
      </c>
      <c r="H108" s="22"/>
      <c r="I108" s="54">
        <v>41</v>
      </c>
      <c r="J108" s="55">
        <v>41</v>
      </c>
      <c r="K108" s="4" t="s">
        <v>170</v>
      </c>
      <c r="L108" s="5" t="s">
        <v>135</v>
      </c>
      <c r="M108" s="21">
        <f t="shared" si="69"/>
        <v>424.35</v>
      </c>
      <c r="N108" s="21"/>
      <c r="O108" s="1">
        <f t="shared" si="70"/>
        <v>55.35</v>
      </c>
      <c r="P108" s="22">
        <f t="shared" si="71"/>
        <v>369</v>
      </c>
      <c r="Q108" s="22"/>
      <c r="R108" s="54">
        <v>41</v>
      </c>
      <c r="S108" s="56">
        <v>41</v>
      </c>
      <c r="T108" s="11" t="s">
        <v>170</v>
      </c>
      <c r="U108" s="5" t="s">
        <v>135</v>
      </c>
      <c r="V108" s="21">
        <f t="shared" si="72"/>
        <v>424.35</v>
      </c>
      <c r="W108" s="21"/>
      <c r="X108" s="1">
        <f t="shared" si="73"/>
        <v>55.35</v>
      </c>
      <c r="Y108" s="22">
        <f t="shared" si="74"/>
        <v>369</v>
      </c>
      <c r="Z108" s="22"/>
      <c r="AA108" s="54">
        <v>41</v>
      </c>
      <c r="AB108" s="55">
        <v>41</v>
      </c>
      <c r="AC108" s="2" t="s">
        <v>170</v>
      </c>
      <c r="AD108" s="6" t="s">
        <v>135</v>
      </c>
      <c r="AE108" s="11" t="s">
        <v>122</v>
      </c>
    </row>
    <row r="109" spans="3:31" ht="57" customHeight="1">
      <c r="C109" s="10">
        <f t="shared" si="83"/>
        <v>2546.1000000000004</v>
      </c>
      <c r="D109" s="21">
        <f t="shared" si="66"/>
        <v>848.7</v>
      </c>
      <c r="E109" s="21"/>
      <c r="F109" s="1">
        <f t="shared" si="67"/>
        <v>110.7</v>
      </c>
      <c r="G109" s="22">
        <f t="shared" si="68"/>
        <v>738</v>
      </c>
      <c r="H109" s="22"/>
      <c r="I109" s="54">
        <v>41</v>
      </c>
      <c r="J109" s="55">
        <v>41</v>
      </c>
      <c r="K109" s="4" t="s">
        <v>40</v>
      </c>
      <c r="L109" s="5" t="s">
        <v>135</v>
      </c>
      <c r="M109" s="21">
        <f t="shared" si="69"/>
        <v>848.7</v>
      </c>
      <c r="N109" s="21"/>
      <c r="O109" s="1">
        <f t="shared" si="70"/>
        <v>110.7</v>
      </c>
      <c r="P109" s="22">
        <f t="shared" si="71"/>
        <v>738</v>
      </c>
      <c r="Q109" s="22"/>
      <c r="R109" s="54">
        <v>41</v>
      </c>
      <c r="S109" s="56">
        <v>41</v>
      </c>
      <c r="T109" s="11" t="s">
        <v>40</v>
      </c>
      <c r="U109" s="5" t="s">
        <v>135</v>
      </c>
      <c r="V109" s="21">
        <f t="shared" si="72"/>
        <v>848.7</v>
      </c>
      <c r="W109" s="21"/>
      <c r="X109" s="1">
        <f t="shared" si="73"/>
        <v>110.7</v>
      </c>
      <c r="Y109" s="22">
        <f t="shared" si="74"/>
        <v>738</v>
      </c>
      <c r="Z109" s="22"/>
      <c r="AA109" s="54">
        <v>41</v>
      </c>
      <c r="AB109" s="55">
        <v>41</v>
      </c>
      <c r="AC109" s="2" t="s">
        <v>40</v>
      </c>
      <c r="AD109" s="6" t="s">
        <v>135</v>
      </c>
      <c r="AE109" s="11" t="s">
        <v>123</v>
      </c>
    </row>
    <row r="110" spans="3:31" ht="57" customHeight="1">
      <c r="C110" s="10">
        <f t="shared" si="83"/>
        <v>2121.75</v>
      </c>
      <c r="D110" s="21">
        <f t="shared" si="66"/>
        <v>707.25</v>
      </c>
      <c r="E110" s="21"/>
      <c r="F110" s="1">
        <f t="shared" si="67"/>
        <v>92.25</v>
      </c>
      <c r="G110" s="22">
        <f t="shared" si="68"/>
        <v>615</v>
      </c>
      <c r="H110" s="22"/>
      <c r="I110" s="54">
        <v>41</v>
      </c>
      <c r="J110" s="55">
        <v>41</v>
      </c>
      <c r="K110" s="4" t="s">
        <v>167</v>
      </c>
      <c r="L110" s="5" t="s">
        <v>135</v>
      </c>
      <c r="M110" s="21">
        <f t="shared" si="69"/>
        <v>707.25</v>
      </c>
      <c r="N110" s="21"/>
      <c r="O110" s="1">
        <f t="shared" si="70"/>
        <v>92.25</v>
      </c>
      <c r="P110" s="22">
        <f t="shared" si="71"/>
        <v>615</v>
      </c>
      <c r="Q110" s="22"/>
      <c r="R110" s="54">
        <v>41</v>
      </c>
      <c r="S110" s="56">
        <v>41</v>
      </c>
      <c r="T110" s="11" t="s">
        <v>167</v>
      </c>
      <c r="U110" s="5" t="s">
        <v>135</v>
      </c>
      <c r="V110" s="21">
        <f t="shared" si="72"/>
        <v>707.25</v>
      </c>
      <c r="W110" s="21"/>
      <c r="X110" s="1">
        <f t="shared" si="73"/>
        <v>92.25</v>
      </c>
      <c r="Y110" s="22">
        <f t="shared" si="74"/>
        <v>615</v>
      </c>
      <c r="Z110" s="22"/>
      <c r="AA110" s="54">
        <v>41</v>
      </c>
      <c r="AB110" s="55">
        <v>41</v>
      </c>
      <c r="AC110" s="2" t="s">
        <v>167</v>
      </c>
      <c r="AD110" s="6" t="s">
        <v>135</v>
      </c>
      <c r="AE110" s="11" t="s">
        <v>124</v>
      </c>
    </row>
    <row r="111" spans="3:31" ht="57" customHeight="1">
      <c r="C111" s="10">
        <f t="shared" si="83"/>
        <v>1697.3999999999999</v>
      </c>
      <c r="D111" s="21">
        <f t="shared" si="66"/>
        <v>565.79999999999995</v>
      </c>
      <c r="E111" s="21"/>
      <c r="F111" s="1">
        <f t="shared" si="67"/>
        <v>73.8</v>
      </c>
      <c r="G111" s="22">
        <f t="shared" si="68"/>
        <v>492</v>
      </c>
      <c r="H111" s="22"/>
      <c r="I111" s="54">
        <v>41</v>
      </c>
      <c r="J111" s="55">
        <v>41</v>
      </c>
      <c r="K111" s="4" t="s">
        <v>37</v>
      </c>
      <c r="L111" s="5" t="s">
        <v>135</v>
      </c>
      <c r="M111" s="21">
        <f t="shared" si="69"/>
        <v>565.79999999999995</v>
      </c>
      <c r="N111" s="21"/>
      <c r="O111" s="1">
        <f t="shared" si="70"/>
        <v>73.8</v>
      </c>
      <c r="P111" s="22">
        <f t="shared" si="71"/>
        <v>492</v>
      </c>
      <c r="Q111" s="22"/>
      <c r="R111" s="54">
        <v>41</v>
      </c>
      <c r="S111" s="56">
        <v>41</v>
      </c>
      <c r="T111" s="11" t="s">
        <v>37</v>
      </c>
      <c r="U111" s="5" t="s">
        <v>135</v>
      </c>
      <c r="V111" s="21">
        <f t="shared" si="72"/>
        <v>565.79999999999995</v>
      </c>
      <c r="W111" s="21"/>
      <c r="X111" s="1">
        <f t="shared" si="73"/>
        <v>73.8</v>
      </c>
      <c r="Y111" s="22">
        <f t="shared" si="74"/>
        <v>492</v>
      </c>
      <c r="Z111" s="22"/>
      <c r="AA111" s="54">
        <v>41</v>
      </c>
      <c r="AB111" s="55">
        <v>41</v>
      </c>
      <c r="AC111" s="2" t="s">
        <v>37</v>
      </c>
      <c r="AD111" s="6" t="s">
        <v>135</v>
      </c>
      <c r="AE111" s="11" t="s">
        <v>125</v>
      </c>
    </row>
    <row r="112" spans="3:31" ht="57" customHeight="1">
      <c r="C112" s="10">
        <f>D112+M112+V112</f>
        <v>1273.0500000000002</v>
      </c>
      <c r="D112" s="21">
        <f t="shared" si="66"/>
        <v>424.35</v>
      </c>
      <c r="E112" s="21"/>
      <c r="F112" s="1">
        <f t="shared" si="67"/>
        <v>55.35</v>
      </c>
      <c r="G112" s="22">
        <f t="shared" si="68"/>
        <v>369</v>
      </c>
      <c r="H112" s="22"/>
      <c r="I112" s="54">
        <v>41</v>
      </c>
      <c r="J112" s="55">
        <v>41</v>
      </c>
      <c r="K112" s="4" t="s">
        <v>170</v>
      </c>
      <c r="L112" s="5" t="s">
        <v>135</v>
      </c>
      <c r="M112" s="21">
        <f t="shared" si="69"/>
        <v>424.35</v>
      </c>
      <c r="N112" s="21"/>
      <c r="O112" s="1">
        <f t="shared" si="70"/>
        <v>55.35</v>
      </c>
      <c r="P112" s="22">
        <f t="shared" si="71"/>
        <v>369</v>
      </c>
      <c r="Q112" s="22"/>
      <c r="R112" s="54">
        <v>41</v>
      </c>
      <c r="S112" s="56">
        <v>41</v>
      </c>
      <c r="T112" s="11" t="s">
        <v>170</v>
      </c>
      <c r="U112" s="5" t="s">
        <v>135</v>
      </c>
      <c r="V112" s="21">
        <f t="shared" si="72"/>
        <v>424.35</v>
      </c>
      <c r="W112" s="21"/>
      <c r="X112" s="1">
        <f t="shared" si="73"/>
        <v>55.35</v>
      </c>
      <c r="Y112" s="22">
        <f t="shared" si="74"/>
        <v>369</v>
      </c>
      <c r="Z112" s="22"/>
      <c r="AA112" s="54">
        <v>41</v>
      </c>
      <c r="AB112" s="55">
        <v>41</v>
      </c>
      <c r="AC112" s="2" t="s">
        <v>170</v>
      </c>
      <c r="AD112" s="6" t="s">
        <v>135</v>
      </c>
      <c r="AE112" s="11" t="s">
        <v>126</v>
      </c>
    </row>
    <row r="113" spans="3:32" ht="57" customHeight="1">
      <c r="C113" s="10">
        <f t="shared" ref="C113:C116" si="84">D113+M113+V113</f>
        <v>2121.75</v>
      </c>
      <c r="D113" s="21">
        <f t="shared" si="66"/>
        <v>707.25</v>
      </c>
      <c r="E113" s="21"/>
      <c r="F113" s="1">
        <f t="shared" si="67"/>
        <v>92.25</v>
      </c>
      <c r="G113" s="22">
        <f t="shared" si="68"/>
        <v>615</v>
      </c>
      <c r="H113" s="22"/>
      <c r="I113" s="54">
        <v>41</v>
      </c>
      <c r="J113" s="55">
        <v>41</v>
      </c>
      <c r="K113" s="4" t="s">
        <v>167</v>
      </c>
      <c r="L113" s="5" t="s">
        <v>135</v>
      </c>
      <c r="M113" s="21">
        <f t="shared" si="69"/>
        <v>707.25</v>
      </c>
      <c r="N113" s="21"/>
      <c r="O113" s="1">
        <f t="shared" si="70"/>
        <v>92.25</v>
      </c>
      <c r="P113" s="22">
        <f t="shared" si="71"/>
        <v>615</v>
      </c>
      <c r="Q113" s="22"/>
      <c r="R113" s="54">
        <v>41</v>
      </c>
      <c r="S113" s="56">
        <v>41</v>
      </c>
      <c r="T113" s="11" t="s">
        <v>167</v>
      </c>
      <c r="U113" s="5" t="s">
        <v>135</v>
      </c>
      <c r="V113" s="21">
        <f t="shared" si="72"/>
        <v>707.25</v>
      </c>
      <c r="W113" s="21"/>
      <c r="X113" s="1">
        <f t="shared" si="73"/>
        <v>92.25</v>
      </c>
      <c r="Y113" s="22">
        <f t="shared" si="74"/>
        <v>615</v>
      </c>
      <c r="Z113" s="22"/>
      <c r="AA113" s="54">
        <v>41</v>
      </c>
      <c r="AB113" s="55">
        <v>41</v>
      </c>
      <c r="AC113" s="2" t="s">
        <v>167</v>
      </c>
      <c r="AD113" s="6" t="s">
        <v>135</v>
      </c>
      <c r="AE113" s="11" t="s">
        <v>127</v>
      </c>
    </row>
    <row r="114" spans="3:32" ht="57" customHeight="1">
      <c r="C114" s="10">
        <f t="shared" si="84"/>
        <v>2121.75</v>
      </c>
      <c r="D114" s="21">
        <f t="shared" si="66"/>
        <v>707.25</v>
      </c>
      <c r="E114" s="21"/>
      <c r="F114" s="1">
        <f t="shared" si="67"/>
        <v>92.25</v>
      </c>
      <c r="G114" s="22">
        <f t="shared" si="68"/>
        <v>615</v>
      </c>
      <c r="H114" s="22"/>
      <c r="I114" s="54">
        <v>41</v>
      </c>
      <c r="J114" s="55">
        <v>41</v>
      </c>
      <c r="K114" s="4" t="s">
        <v>167</v>
      </c>
      <c r="L114" s="5" t="s">
        <v>135</v>
      </c>
      <c r="M114" s="21">
        <f t="shared" si="69"/>
        <v>707.25</v>
      </c>
      <c r="N114" s="21"/>
      <c r="O114" s="1">
        <f t="shared" si="70"/>
        <v>92.25</v>
      </c>
      <c r="P114" s="22">
        <f t="shared" si="71"/>
        <v>615</v>
      </c>
      <c r="Q114" s="22"/>
      <c r="R114" s="54">
        <v>41</v>
      </c>
      <c r="S114" s="56">
        <v>41</v>
      </c>
      <c r="T114" s="11" t="s">
        <v>167</v>
      </c>
      <c r="U114" s="5" t="s">
        <v>135</v>
      </c>
      <c r="V114" s="21">
        <f t="shared" si="72"/>
        <v>707.25</v>
      </c>
      <c r="W114" s="21"/>
      <c r="X114" s="1">
        <f t="shared" si="73"/>
        <v>92.25</v>
      </c>
      <c r="Y114" s="22">
        <f t="shared" si="74"/>
        <v>615</v>
      </c>
      <c r="Z114" s="22"/>
      <c r="AA114" s="54">
        <v>41</v>
      </c>
      <c r="AB114" s="55">
        <v>41</v>
      </c>
      <c r="AC114" s="2" t="s">
        <v>167</v>
      </c>
      <c r="AD114" s="6" t="s">
        <v>135</v>
      </c>
      <c r="AE114" s="11" t="s">
        <v>128</v>
      </c>
    </row>
    <row r="115" spans="3:32" ht="57" customHeight="1">
      <c r="C115" s="10">
        <f t="shared" si="84"/>
        <v>424.34999999999997</v>
      </c>
      <c r="D115" s="21">
        <f t="shared" si="66"/>
        <v>141.44999999999999</v>
      </c>
      <c r="E115" s="21"/>
      <c r="F115" s="1">
        <f t="shared" si="67"/>
        <v>18.45</v>
      </c>
      <c r="G115" s="22">
        <f t="shared" si="68"/>
        <v>123</v>
      </c>
      <c r="H115" s="22"/>
      <c r="I115" s="54">
        <v>41</v>
      </c>
      <c r="J115" s="55">
        <v>41</v>
      </c>
      <c r="K115" s="4" t="s">
        <v>171</v>
      </c>
      <c r="L115" s="5" t="s">
        <v>135</v>
      </c>
      <c r="M115" s="21">
        <f t="shared" si="69"/>
        <v>141.44999999999999</v>
      </c>
      <c r="N115" s="21"/>
      <c r="O115" s="1">
        <f t="shared" si="70"/>
        <v>18.45</v>
      </c>
      <c r="P115" s="22">
        <f t="shared" si="71"/>
        <v>123</v>
      </c>
      <c r="Q115" s="22"/>
      <c r="R115" s="54">
        <v>41</v>
      </c>
      <c r="S115" s="56">
        <v>41</v>
      </c>
      <c r="T115" s="11" t="s">
        <v>171</v>
      </c>
      <c r="U115" s="5" t="s">
        <v>135</v>
      </c>
      <c r="V115" s="21">
        <f t="shared" si="72"/>
        <v>141.44999999999999</v>
      </c>
      <c r="W115" s="21"/>
      <c r="X115" s="1">
        <f t="shared" si="73"/>
        <v>18.45</v>
      </c>
      <c r="Y115" s="22">
        <f t="shared" si="74"/>
        <v>123</v>
      </c>
      <c r="Z115" s="22"/>
      <c r="AA115" s="54">
        <v>41</v>
      </c>
      <c r="AB115" s="55">
        <v>41</v>
      </c>
      <c r="AC115" s="2" t="s">
        <v>171</v>
      </c>
      <c r="AD115" s="6" t="s">
        <v>135</v>
      </c>
      <c r="AE115" s="11" t="s">
        <v>129</v>
      </c>
    </row>
    <row r="116" spans="3:32" ht="57" customHeight="1">
      <c r="C116" s="10">
        <f t="shared" si="84"/>
        <v>1273.0500000000002</v>
      </c>
      <c r="D116" s="21">
        <f t="shared" si="66"/>
        <v>424.35</v>
      </c>
      <c r="E116" s="21"/>
      <c r="F116" s="1">
        <f t="shared" si="67"/>
        <v>55.35</v>
      </c>
      <c r="G116" s="22">
        <f t="shared" si="68"/>
        <v>369</v>
      </c>
      <c r="H116" s="22"/>
      <c r="I116" s="54">
        <v>41</v>
      </c>
      <c r="J116" s="55">
        <v>41</v>
      </c>
      <c r="K116" s="4" t="s">
        <v>170</v>
      </c>
      <c r="L116" s="5" t="s">
        <v>135</v>
      </c>
      <c r="M116" s="21">
        <f t="shared" si="69"/>
        <v>424.35</v>
      </c>
      <c r="N116" s="21"/>
      <c r="O116" s="1">
        <f t="shared" si="70"/>
        <v>55.35</v>
      </c>
      <c r="P116" s="22">
        <f t="shared" si="71"/>
        <v>369</v>
      </c>
      <c r="Q116" s="22"/>
      <c r="R116" s="54">
        <v>41</v>
      </c>
      <c r="S116" s="56">
        <v>41</v>
      </c>
      <c r="T116" s="11" t="s">
        <v>170</v>
      </c>
      <c r="U116" s="5" t="s">
        <v>135</v>
      </c>
      <c r="V116" s="21">
        <f t="shared" si="72"/>
        <v>424.35</v>
      </c>
      <c r="W116" s="21"/>
      <c r="X116" s="1">
        <f t="shared" si="73"/>
        <v>55.35</v>
      </c>
      <c r="Y116" s="22">
        <f t="shared" si="74"/>
        <v>369</v>
      </c>
      <c r="Z116" s="22"/>
      <c r="AA116" s="54">
        <v>41</v>
      </c>
      <c r="AB116" s="55">
        <v>41</v>
      </c>
      <c r="AC116" s="2" t="s">
        <v>170</v>
      </c>
      <c r="AD116" s="6" t="s">
        <v>135</v>
      </c>
      <c r="AE116" s="11" t="s">
        <v>130</v>
      </c>
    </row>
    <row r="117" spans="3:32" ht="57" customHeight="1">
      <c r="C117" s="10">
        <f>D117+M117+V117</f>
        <v>424.34999999999997</v>
      </c>
      <c r="D117" s="21">
        <f t="shared" si="66"/>
        <v>141.44999999999999</v>
      </c>
      <c r="E117" s="21"/>
      <c r="F117" s="1">
        <f t="shared" si="67"/>
        <v>18.45</v>
      </c>
      <c r="G117" s="22">
        <f t="shared" si="68"/>
        <v>123</v>
      </c>
      <c r="H117" s="22"/>
      <c r="I117" s="54">
        <v>41</v>
      </c>
      <c r="J117" s="55">
        <v>41</v>
      </c>
      <c r="K117" s="4" t="s">
        <v>171</v>
      </c>
      <c r="L117" s="5" t="s">
        <v>135</v>
      </c>
      <c r="M117" s="21">
        <f t="shared" si="69"/>
        <v>141.44999999999999</v>
      </c>
      <c r="N117" s="21"/>
      <c r="O117" s="1">
        <f t="shared" si="70"/>
        <v>18.45</v>
      </c>
      <c r="P117" s="22">
        <f t="shared" si="71"/>
        <v>123</v>
      </c>
      <c r="Q117" s="22"/>
      <c r="R117" s="54">
        <v>41</v>
      </c>
      <c r="S117" s="56">
        <v>41</v>
      </c>
      <c r="T117" s="11" t="s">
        <v>171</v>
      </c>
      <c r="U117" s="5" t="s">
        <v>135</v>
      </c>
      <c r="V117" s="21">
        <f t="shared" si="72"/>
        <v>141.44999999999999</v>
      </c>
      <c r="W117" s="21"/>
      <c r="X117" s="1">
        <f t="shared" si="73"/>
        <v>18.45</v>
      </c>
      <c r="Y117" s="22">
        <f t="shared" si="74"/>
        <v>123</v>
      </c>
      <c r="Z117" s="22"/>
      <c r="AA117" s="54">
        <v>41</v>
      </c>
      <c r="AB117" s="55">
        <v>41</v>
      </c>
      <c r="AC117" s="2" t="s">
        <v>171</v>
      </c>
      <c r="AD117" s="6" t="s">
        <v>135</v>
      </c>
      <c r="AE117" s="11" t="s">
        <v>131</v>
      </c>
    </row>
    <row r="118" spans="3:32" ht="57" customHeight="1">
      <c r="C118" s="10">
        <f t="shared" ref="C118:C120" si="85">D118+M118+V118</f>
        <v>1273.0500000000002</v>
      </c>
      <c r="D118" s="21">
        <f t="shared" si="66"/>
        <v>424.35</v>
      </c>
      <c r="E118" s="21"/>
      <c r="F118" s="1">
        <f t="shared" si="67"/>
        <v>55.35</v>
      </c>
      <c r="G118" s="22">
        <f t="shared" si="68"/>
        <v>369</v>
      </c>
      <c r="H118" s="22"/>
      <c r="I118" s="54">
        <v>41</v>
      </c>
      <c r="J118" s="55">
        <v>41</v>
      </c>
      <c r="K118" s="4" t="s">
        <v>170</v>
      </c>
      <c r="L118" s="5" t="s">
        <v>135</v>
      </c>
      <c r="M118" s="21">
        <f t="shared" si="69"/>
        <v>424.35</v>
      </c>
      <c r="N118" s="21"/>
      <c r="O118" s="1">
        <f t="shared" si="70"/>
        <v>55.35</v>
      </c>
      <c r="P118" s="22">
        <f t="shared" si="71"/>
        <v>369</v>
      </c>
      <c r="Q118" s="22"/>
      <c r="R118" s="54">
        <v>41</v>
      </c>
      <c r="S118" s="56">
        <v>41</v>
      </c>
      <c r="T118" s="11" t="s">
        <v>170</v>
      </c>
      <c r="U118" s="5" t="s">
        <v>135</v>
      </c>
      <c r="V118" s="21">
        <f t="shared" si="72"/>
        <v>424.35</v>
      </c>
      <c r="W118" s="21"/>
      <c r="X118" s="1">
        <f t="shared" si="73"/>
        <v>55.35</v>
      </c>
      <c r="Y118" s="22">
        <f t="shared" si="74"/>
        <v>369</v>
      </c>
      <c r="Z118" s="22"/>
      <c r="AA118" s="54">
        <v>41</v>
      </c>
      <c r="AB118" s="55">
        <v>41</v>
      </c>
      <c r="AC118" s="2" t="s">
        <v>170</v>
      </c>
      <c r="AD118" s="6" t="s">
        <v>135</v>
      </c>
      <c r="AE118" s="11" t="s">
        <v>132</v>
      </c>
    </row>
    <row r="119" spans="3:32" ht="57" customHeight="1">
      <c r="C119" s="10">
        <f t="shared" si="85"/>
        <v>848.69999999999993</v>
      </c>
      <c r="D119" s="21">
        <f t="shared" si="66"/>
        <v>282.89999999999998</v>
      </c>
      <c r="E119" s="21"/>
      <c r="F119" s="1">
        <f t="shared" si="67"/>
        <v>36.9</v>
      </c>
      <c r="G119" s="22">
        <f t="shared" si="68"/>
        <v>246</v>
      </c>
      <c r="H119" s="22"/>
      <c r="I119" s="54">
        <v>41</v>
      </c>
      <c r="J119" s="55">
        <v>41</v>
      </c>
      <c r="K119" s="4" t="s">
        <v>172</v>
      </c>
      <c r="L119" s="5" t="s">
        <v>135</v>
      </c>
      <c r="M119" s="21">
        <f t="shared" si="69"/>
        <v>282.89999999999998</v>
      </c>
      <c r="N119" s="21"/>
      <c r="O119" s="1">
        <f t="shared" si="70"/>
        <v>36.9</v>
      </c>
      <c r="P119" s="22">
        <f t="shared" si="71"/>
        <v>246</v>
      </c>
      <c r="Q119" s="22"/>
      <c r="R119" s="54">
        <v>41</v>
      </c>
      <c r="S119" s="56">
        <v>41</v>
      </c>
      <c r="T119" s="11" t="s">
        <v>172</v>
      </c>
      <c r="U119" s="5" t="s">
        <v>135</v>
      </c>
      <c r="V119" s="21">
        <f t="shared" si="72"/>
        <v>282.89999999999998</v>
      </c>
      <c r="W119" s="21"/>
      <c r="X119" s="1">
        <f t="shared" si="73"/>
        <v>36.9</v>
      </c>
      <c r="Y119" s="22">
        <f t="shared" si="74"/>
        <v>246</v>
      </c>
      <c r="Z119" s="22"/>
      <c r="AA119" s="54">
        <v>41</v>
      </c>
      <c r="AB119" s="55">
        <v>41</v>
      </c>
      <c r="AC119" s="2" t="s">
        <v>172</v>
      </c>
      <c r="AD119" s="6" t="s">
        <v>135</v>
      </c>
      <c r="AE119" s="11" t="s">
        <v>133</v>
      </c>
    </row>
    <row r="120" spans="3:32" ht="57" customHeight="1">
      <c r="C120" s="10">
        <f t="shared" si="85"/>
        <v>931.5</v>
      </c>
      <c r="D120" s="21">
        <f t="shared" si="66"/>
        <v>310.5</v>
      </c>
      <c r="E120" s="21"/>
      <c r="F120" s="1">
        <f t="shared" si="67"/>
        <v>40.5</v>
      </c>
      <c r="G120" s="22">
        <f t="shared" si="68"/>
        <v>270</v>
      </c>
      <c r="H120" s="22"/>
      <c r="I120" s="54">
        <v>45</v>
      </c>
      <c r="J120" s="55">
        <v>45</v>
      </c>
      <c r="K120" s="4" t="s">
        <v>172</v>
      </c>
      <c r="L120" s="5" t="s">
        <v>135</v>
      </c>
      <c r="M120" s="21">
        <f t="shared" si="69"/>
        <v>310.5</v>
      </c>
      <c r="N120" s="21"/>
      <c r="O120" s="1">
        <f t="shared" si="70"/>
        <v>40.5</v>
      </c>
      <c r="P120" s="22">
        <f t="shared" si="71"/>
        <v>270</v>
      </c>
      <c r="Q120" s="22"/>
      <c r="R120" s="54">
        <v>45</v>
      </c>
      <c r="S120" s="56">
        <v>45</v>
      </c>
      <c r="T120" s="11" t="s">
        <v>172</v>
      </c>
      <c r="U120" s="5" t="s">
        <v>135</v>
      </c>
      <c r="V120" s="21">
        <f t="shared" si="72"/>
        <v>310.5</v>
      </c>
      <c r="W120" s="21"/>
      <c r="X120" s="1">
        <f t="shared" si="73"/>
        <v>40.5</v>
      </c>
      <c r="Y120" s="22">
        <f t="shared" si="74"/>
        <v>270</v>
      </c>
      <c r="Z120" s="22"/>
      <c r="AA120" s="54">
        <v>45</v>
      </c>
      <c r="AB120" s="55">
        <v>45</v>
      </c>
      <c r="AC120" s="2" t="s">
        <v>172</v>
      </c>
      <c r="AD120" s="6" t="s">
        <v>135</v>
      </c>
      <c r="AE120" s="11" t="s">
        <v>134</v>
      </c>
    </row>
    <row r="121" spans="3:32" ht="57" customHeight="1">
      <c r="D121" s="50">
        <f>SUM(C65:C120)*0.85</f>
        <v>2081890.2524999995</v>
      </c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2" t="s">
        <v>3</v>
      </c>
      <c r="AC121" s="52"/>
      <c r="AD121" s="52"/>
      <c r="AE121" s="52"/>
      <c r="AF121" s="53"/>
    </row>
    <row r="122" spans="3:32" ht="57" customHeight="1">
      <c r="D122" s="15">
        <f>D121*0.15</f>
        <v>312283.53787499992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7"/>
      <c r="AB122" s="49" t="s">
        <v>6</v>
      </c>
      <c r="AC122" s="19"/>
      <c r="AD122" s="19"/>
      <c r="AE122" s="19"/>
      <c r="AF122" s="20"/>
    </row>
    <row r="123" spans="3:32" ht="57" customHeight="1">
      <c r="D123" s="15">
        <f>D121+D122</f>
        <v>2394173.7903749994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7"/>
      <c r="AB123" s="18" t="s">
        <v>7</v>
      </c>
      <c r="AC123" s="19"/>
      <c r="AD123" s="19"/>
      <c r="AE123" s="19"/>
      <c r="AF123" s="20"/>
    </row>
    <row r="124" spans="3:32" ht="57" customHeight="1">
      <c r="T124" s="12"/>
      <c r="AC124" s="12"/>
      <c r="AE124" s="13"/>
    </row>
    <row r="127" spans="3:32" ht="57" customHeight="1" thickBot="1"/>
    <row r="128" spans="3:32" ht="57" customHeight="1" thickBot="1">
      <c r="D128" s="28" t="s">
        <v>174</v>
      </c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6"/>
      <c r="AF128" s="30"/>
    </row>
    <row r="129" spans="3:32" ht="57" customHeight="1" thickBot="1">
      <c r="D129" s="31" t="s">
        <v>14</v>
      </c>
      <c r="E129" s="32"/>
      <c r="F129" s="32"/>
      <c r="G129" s="32"/>
      <c r="H129" s="32"/>
      <c r="I129" s="32"/>
      <c r="J129" s="32"/>
      <c r="K129" s="32"/>
      <c r="L129" s="33"/>
      <c r="M129" s="34" t="s">
        <v>13</v>
      </c>
      <c r="N129" s="35"/>
      <c r="O129" s="35"/>
      <c r="P129" s="35"/>
      <c r="Q129" s="35"/>
      <c r="R129" s="35"/>
      <c r="S129" s="35"/>
      <c r="T129" s="36"/>
      <c r="U129" s="37"/>
      <c r="V129" s="38" t="s">
        <v>12</v>
      </c>
      <c r="W129" s="39"/>
      <c r="X129" s="39"/>
      <c r="Y129" s="39"/>
      <c r="Z129" s="39"/>
      <c r="AA129" s="39"/>
      <c r="AB129" s="39"/>
      <c r="AC129" s="39"/>
      <c r="AD129" s="39"/>
      <c r="AE129" s="40" t="s">
        <v>1</v>
      </c>
      <c r="AF129" s="25" t="s">
        <v>0</v>
      </c>
    </row>
    <row r="130" spans="3:32" ht="57" customHeight="1" thickBot="1">
      <c r="C130" s="42" t="s">
        <v>15</v>
      </c>
      <c r="D130" s="28" t="s">
        <v>10</v>
      </c>
      <c r="E130" s="30"/>
      <c r="F130" s="8" t="s">
        <v>11</v>
      </c>
      <c r="G130" s="28" t="s">
        <v>5</v>
      </c>
      <c r="H130" s="30"/>
      <c r="I130" s="24" t="s">
        <v>9</v>
      </c>
      <c r="J130" s="25"/>
      <c r="K130" s="44" t="s">
        <v>2</v>
      </c>
      <c r="L130" s="44" t="s">
        <v>8</v>
      </c>
      <c r="M130" s="28" t="s">
        <v>10</v>
      </c>
      <c r="N130" s="30"/>
      <c r="O130" s="8" t="s">
        <v>11</v>
      </c>
      <c r="P130" s="28" t="s">
        <v>5</v>
      </c>
      <c r="Q130" s="30"/>
      <c r="R130" s="24" t="s">
        <v>9</v>
      </c>
      <c r="S130" s="26"/>
      <c r="T130" s="40" t="s">
        <v>2</v>
      </c>
      <c r="U130" s="25" t="s">
        <v>8</v>
      </c>
      <c r="V130" s="28" t="s">
        <v>10</v>
      </c>
      <c r="W130" s="30"/>
      <c r="X130" s="8" t="s">
        <v>11</v>
      </c>
      <c r="Y130" s="28" t="s">
        <v>5</v>
      </c>
      <c r="Z130" s="30"/>
      <c r="AA130" s="24" t="s">
        <v>9</v>
      </c>
      <c r="AB130" s="25"/>
      <c r="AC130" s="46" t="s">
        <v>2</v>
      </c>
      <c r="AD130" s="24" t="s">
        <v>8</v>
      </c>
      <c r="AE130" s="40"/>
      <c r="AF130" s="41"/>
    </row>
    <row r="131" spans="3:32" ht="57" customHeight="1">
      <c r="C131" s="43"/>
      <c r="D131" s="24" t="s">
        <v>4</v>
      </c>
      <c r="E131" s="25"/>
      <c r="F131" s="9" t="s">
        <v>4</v>
      </c>
      <c r="G131" s="24" t="s">
        <v>4</v>
      </c>
      <c r="H131" s="25"/>
      <c r="I131" s="24" t="s">
        <v>4</v>
      </c>
      <c r="J131" s="25"/>
      <c r="K131" s="45"/>
      <c r="L131" s="45"/>
      <c r="M131" s="24" t="s">
        <v>4</v>
      </c>
      <c r="N131" s="25"/>
      <c r="O131" s="9" t="s">
        <v>4</v>
      </c>
      <c r="P131" s="24" t="s">
        <v>4</v>
      </c>
      <c r="Q131" s="25"/>
      <c r="R131" s="24" t="s">
        <v>4</v>
      </c>
      <c r="S131" s="26"/>
      <c r="T131" s="40"/>
      <c r="U131" s="41"/>
      <c r="V131" s="24" t="s">
        <v>4</v>
      </c>
      <c r="W131" s="25"/>
      <c r="X131" s="9" t="s">
        <v>4</v>
      </c>
      <c r="Y131" s="24" t="s">
        <v>4</v>
      </c>
      <c r="Z131" s="25"/>
      <c r="AA131" s="24" t="s">
        <v>4</v>
      </c>
      <c r="AB131" s="25"/>
      <c r="AC131" s="59"/>
      <c r="AD131" s="48"/>
      <c r="AE131" s="40"/>
      <c r="AF131" s="41"/>
    </row>
    <row r="132" spans="3:32" ht="57" customHeight="1">
      <c r="C132" s="10">
        <f>D132+M132+V132</f>
        <v>644</v>
      </c>
      <c r="D132" s="21">
        <f>F132+G132</f>
        <v>0</v>
      </c>
      <c r="E132" s="21"/>
      <c r="F132" s="1">
        <f>G132*0.15</f>
        <v>0</v>
      </c>
      <c r="G132" s="22">
        <f>I132*K132</f>
        <v>0</v>
      </c>
      <c r="H132" s="22"/>
      <c r="I132" s="54">
        <v>34</v>
      </c>
      <c r="J132" s="55">
        <v>34</v>
      </c>
      <c r="K132" s="4"/>
      <c r="L132" s="5"/>
      <c r="M132" s="21">
        <f>O132+P132</f>
        <v>0</v>
      </c>
      <c r="N132" s="21"/>
      <c r="O132" s="1">
        <f>P132*0.15</f>
        <v>0</v>
      </c>
      <c r="P132" s="22">
        <f>R132*T132</f>
        <v>0</v>
      </c>
      <c r="Q132" s="22"/>
      <c r="R132" s="54">
        <v>33</v>
      </c>
      <c r="S132" s="56">
        <v>33</v>
      </c>
      <c r="T132" s="11"/>
      <c r="U132" s="5"/>
      <c r="V132" s="21">
        <f>X132+Y132</f>
        <v>644</v>
      </c>
      <c r="W132" s="21"/>
      <c r="X132" s="1">
        <f>Y132*0.15</f>
        <v>84</v>
      </c>
      <c r="Y132" s="22">
        <f>AA132*AC132</f>
        <v>560</v>
      </c>
      <c r="Z132" s="22"/>
      <c r="AA132" s="57">
        <v>40</v>
      </c>
      <c r="AB132" s="58"/>
      <c r="AC132" s="11" t="s">
        <v>179</v>
      </c>
      <c r="AD132" s="11" t="s">
        <v>182</v>
      </c>
      <c r="AE132" s="11" t="s">
        <v>175</v>
      </c>
      <c r="AF132" s="5">
        <v>1</v>
      </c>
    </row>
    <row r="133" spans="3:32" ht="57" customHeight="1">
      <c r="C133" s="10">
        <f t="shared" ref="C133:C135" si="86">D133+M133+V133</f>
        <v>2875</v>
      </c>
      <c r="D133" s="21">
        <f t="shared" ref="D133:D135" si="87">F133+G133</f>
        <v>0</v>
      </c>
      <c r="E133" s="21"/>
      <c r="F133" s="1">
        <f t="shared" ref="F133:F135" si="88">G133*0.15</f>
        <v>0</v>
      </c>
      <c r="G133" s="22">
        <f t="shared" ref="G133:G135" si="89">I133*K133</f>
        <v>0</v>
      </c>
      <c r="H133" s="22"/>
      <c r="I133" s="54">
        <v>50</v>
      </c>
      <c r="J133" s="55">
        <v>50</v>
      </c>
      <c r="K133" s="4"/>
      <c r="L133" s="5"/>
      <c r="M133" s="21">
        <f t="shared" ref="M133:M135" si="90">O133+P133</f>
        <v>0</v>
      </c>
      <c r="N133" s="21"/>
      <c r="O133" s="1">
        <f t="shared" ref="O133:O135" si="91">P133*0.15</f>
        <v>0</v>
      </c>
      <c r="P133" s="22">
        <f t="shared" ref="P133:P135" si="92">R133*T133</f>
        <v>0</v>
      </c>
      <c r="Q133" s="22"/>
      <c r="R133" s="54">
        <v>50</v>
      </c>
      <c r="S133" s="56">
        <v>50</v>
      </c>
      <c r="T133" s="11"/>
      <c r="U133" s="5"/>
      <c r="V133" s="21">
        <f t="shared" ref="V133:V135" si="93">X133+Y133</f>
        <v>2875</v>
      </c>
      <c r="W133" s="21"/>
      <c r="X133" s="1">
        <f t="shared" ref="X133:X135" si="94">Y133*0.15</f>
        <v>375</v>
      </c>
      <c r="Y133" s="22">
        <f t="shared" ref="Y133:Y135" si="95">AA133*AC133</f>
        <v>2500</v>
      </c>
      <c r="Z133" s="22"/>
      <c r="AA133" s="57">
        <v>10</v>
      </c>
      <c r="AB133" s="58"/>
      <c r="AC133" s="11" t="s">
        <v>180</v>
      </c>
      <c r="AD133" s="11" t="s">
        <v>183</v>
      </c>
      <c r="AE133" s="11" t="s">
        <v>176</v>
      </c>
      <c r="AF133" s="5">
        <v>2</v>
      </c>
    </row>
    <row r="134" spans="3:32" ht="57" customHeight="1">
      <c r="C134" s="10">
        <f t="shared" si="86"/>
        <v>241.5</v>
      </c>
      <c r="D134" s="21">
        <f t="shared" si="87"/>
        <v>0</v>
      </c>
      <c r="E134" s="21"/>
      <c r="F134" s="1">
        <f t="shared" si="88"/>
        <v>0</v>
      </c>
      <c r="G134" s="22">
        <f t="shared" si="89"/>
        <v>0</v>
      </c>
      <c r="H134" s="22"/>
      <c r="I134" s="54">
        <v>28</v>
      </c>
      <c r="J134" s="55">
        <v>28</v>
      </c>
      <c r="K134" s="4"/>
      <c r="L134" s="5"/>
      <c r="M134" s="21">
        <f t="shared" si="90"/>
        <v>0</v>
      </c>
      <c r="N134" s="21"/>
      <c r="O134" s="1">
        <f t="shared" si="91"/>
        <v>0</v>
      </c>
      <c r="P134" s="22">
        <f t="shared" si="92"/>
        <v>0</v>
      </c>
      <c r="Q134" s="22"/>
      <c r="R134" s="54">
        <v>28</v>
      </c>
      <c r="S134" s="56">
        <v>28</v>
      </c>
      <c r="T134" s="11"/>
      <c r="U134" s="5"/>
      <c r="V134" s="21">
        <f t="shared" si="93"/>
        <v>241.5</v>
      </c>
      <c r="W134" s="21"/>
      <c r="X134" s="1">
        <f t="shared" si="94"/>
        <v>31.5</v>
      </c>
      <c r="Y134" s="22">
        <f t="shared" si="95"/>
        <v>210</v>
      </c>
      <c r="Z134" s="22"/>
      <c r="AA134" s="57">
        <v>15</v>
      </c>
      <c r="AB134" s="58"/>
      <c r="AC134" s="11" t="s">
        <v>179</v>
      </c>
      <c r="AD134" s="11" t="s">
        <v>184</v>
      </c>
      <c r="AE134" s="11" t="s">
        <v>177</v>
      </c>
      <c r="AF134" s="5">
        <v>3</v>
      </c>
    </row>
    <row r="135" spans="3:32" ht="57" customHeight="1">
      <c r="C135" s="10">
        <f t="shared" si="86"/>
        <v>276000</v>
      </c>
      <c r="D135" s="21">
        <f t="shared" si="87"/>
        <v>0</v>
      </c>
      <c r="E135" s="21"/>
      <c r="F135" s="1">
        <f t="shared" si="88"/>
        <v>0</v>
      </c>
      <c r="G135" s="22">
        <f t="shared" si="89"/>
        <v>0</v>
      </c>
      <c r="H135" s="22"/>
      <c r="I135" s="54">
        <v>28</v>
      </c>
      <c r="J135" s="55">
        <v>28</v>
      </c>
      <c r="K135" s="4"/>
      <c r="L135" s="5"/>
      <c r="M135" s="21">
        <f t="shared" si="90"/>
        <v>0</v>
      </c>
      <c r="N135" s="21"/>
      <c r="O135" s="1">
        <f t="shared" si="91"/>
        <v>0</v>
      </c>
      <c r="P135" s="22">
        <f t="shared" si="92"/>
        <v>0</v>
      </c>
      <c r="Q135" s="22"/>
      <c r="R135" s="54">
        <v>28</v>
      </c>
      <c r="S135" s="56">
        <v>28</v>
      </c>
      <c r="T135" s="11"/>
      <c r="U135" s="5"/>
      <c r="V135" s="21">
        <f t="shared" si="93"/>
        <v>276000</v>
      </c>
      <c r="W135" s="21"/>
      <c r="X135" s="1">
        <f t="shared" si="94"/>
        <v>36000</v>
      </c>
      <c r="Y135" s="22">
        <f t="shared" si="95"/>
        <v>240000</v>
      </c>
      <c r="Z135" s="22"/>
      <c r="AA135" s="57">
        <v>20</v>
      </c>
      <c r="AB135" s="58"/>
      <c r="AC135" s="11" t="s">
        <v>181</v>
      </c>
      <c r="AD135" s="11" t="s">
        <v>184</v>
      </c>
      <c r="AE135" s="11" t="s">
        <v>178</v>
      </c>
      <c r="AF135" s="5">
        <v>4</v>
      </c>
    </row>
    <row r="136" spans="3:32" ht="57" customHeight="1">
      <c r="D136" s="50">
        <f>SUM(C80:C135)*0.85</f>
        <v>586634.8949999999</v>
      </c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1"/>
      <c r="AB136" s="52" t="s">
        <v>3</v>
      </c>
      <c r="AC136" s="52"/>
      <c r="AD136" s="52"/>
      <c r="AE136" s="52"/>
      <c r="AF136" s="53"/>
    </row>
    <row r="137" spans="3:32" ht="57" customHeight="1">
      <c r="D137" s="15">
        <f>D136*0.15</f>
        <v>87995.23424999998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7"/>
      <c r="AB137" s="49" t="s">
        <v>6</v>
      </c>
      <c r="AC137" s="19"/>
      <c r="AD137" s="19"/>
      <c r="AE137" s="19"/>
      <c r="AF137" s="20"/>
    </row>
    <row r="138" spans="3:32" ht="57" customHeight="1">
      <c r="D138" s="15">
        <f>D136+D137</f>
        <v>674630.12924999988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7"/>
      <c r="AB138" s="18" t="s">
        <v>7</v>
      </c>
      <c r="AC138" s="19"/>
      <c r="AD138" s="19"/>
      <c r="AE138" s="19"/>
      <c r="AF138" s="20"/>
    </row>
    <row r="141" spans="3:32" ht="57" customHeight="1" thickBot="1"/>
    <row r="142" spans="3:32" ht="57" customHeight="1" thickBot="1">
      <c r="D142" s="28" t="s">
        <v>185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6"/>
      <c r="AF142" s="30"/>
    </row>
    <row r="143" spans="3:32" ht="57" customHeight="1" thickBot="1">
      <c r="D143" s="31" t="s">
        <v>14</v>
      </c>
      <c r="E143" s="32"/>
      <c r="F143" s="32"/>
      <c r="G143" s="32"/>
      <c r="H143" s="32"/>
      <c r="I143" s="32"/>
      <c r="J143" s="32"/>
      <c r="K143" s="32"/>
      <c r="L143" s="33"/>
      <c r="M143" s="34" t="s">
        <v>13</v>
      </c>
      <c r="N143" s="35"/>
      <c r="O143" s="35"/>
      <c r="P143" s="35"/>
      <c r="Q143" s="35"/>
      <c r="R143" s="35"/>
      <c r="S143" s="35"/>
      <c r="T143" s="36"/>
      <c r="U143" s="37"/>
      <c r="V143" s="38" t="s">
        <v>12</v>
      </c>
      <c r="W143" s="39"/>
      <c r="X143" s="39"/>
      <c r="Y143" s="39"/>
      <c r="Z143" s="39"/>
      <c r="AA143" s="39"/>
      <c r="AB143" s="39"/>
      <c r="AC143" s="39"/>
      <c r="AD143" s="39"/>
      <c r="AE143" s="40" t="s">
        <v>1</v>
      </c>
      <c r="AF143" s="25" t="s">
        <v>0</v>
      </c>
    </row>
    <row r="144" spans="3:32" ht="57" customHeight="1" thickBot="1">
      <c r="C144" s="42" t="s">
        <v>15</v>
      </c>
      <c r="D144" s="28" t="s">
        <v>10</v>
      </c>
      <c r="E144" s="30"/>
      <c r="F144" s="8" t="s">
        <v>11</v>
      </c>
      <c r="G144" s="28" t="s">
        <v>5</v>
      </c>
      <c r="H144" s="30"/>
      <c r="I144" s="24" t="s">
        <v>9</v>
      </c>
      <c r="J144" s="25"/>
      <c r="K144" s="44" t="s">
        <v>2</v>
      </c>
      <c r="L144" s="44" t="s">
        <v>8</v>
      </c>
      <c r="M144" s="28" t="s">
        <v>10</v>
      </c>
      <c r="N144" s="30"/>
      <c r="O144" s="8" t="s">
        <v>11</v>
      </c>
      <c r="P144" s="28" t="s">
        <v>5</v>
      </c>
      <c r="Q144" s="30"/>
      <c r="R144" s="24" t="s">
        <v>9</v>
      </c>
      <c r="S144" s="26"/>
      <c r="T144" s="40" t="s">
        <v>2</v>
      </c>
      <c r="U144" s="25" t="s">
        <v>8</v>
      </c>
      <c r="V144" s="28" t="s">
        <v>10</v>
      </c>
      <c r="W144" s="30"/>
      <c r="X144" s="8" t="s">
        <v>11</v>
      </c>
      <c r="Y144" s="28" t="s">
        <v>5</v>
      </c>
      <c r="Z144" s="30"/>
      <c r="AA144" s="24" t="s">
        <v>9</v>
      </c>
      <c r="AB144" s="25"/>
      <c r="AC144" s="46" t="s">
        <v>2</v>
      </c>
      <c r="AD144" s="24" t="s">
        <v>8</v>
      </c>
      <c r="AE144" s="40"/>
      <c r="AF144" s="41"/>
    </row>
    <row r="145" spans="3:32" ht="57" customHeight="1">
      <c r="C145" s="43"/>
      <c r="D145" s="24" t="s">
        <v>4</v>
      </c>
      <c r="E145" s="25"/>
      <c r="F145" s="9" t="s">
        <v>4</v>
      </c>
      <c r="G145" s="24" t="s">
        <v>4</v>
      </c>
      <c r="H145" s="25"/>
      <c r="I145" s="24" t="s">
        <v>4</v>
      </c>
      <c r="J145" s="25"/>
      <c r="K145" s="45"/>
      <c r="L145" s="45"/>
      <c r="M145" s="24" t="s">
        <v>4</v>
      </c>
      <c r="N145" s="25"/>
      <c r="O145" s="9" t="s">
        <v>4</v>
      </c>
      <c r="P145" s="24" t="s">
        <v>4</v>
      </c>
      <c r="Q145" s="25"/>
      <c r="R145" s="24" t="s">
        <v>4</v>
      </c>
      <c r="S145" s="26"/>
      <c r="T145" s="40"/>
      <c r="U145" s="41"/>
      <c r="V145" s="24" t="s">
        <v>4</v>
      </c>
      <c r="W145" s="25"/>
      <c r="X145" s="9" t="s">
        <v>4</v>
      </c>
      <c r="Y145" s="24" t="s">
        <v>4</v>
      </c>
      <c r="Z145" s="26"/>
      <c r="AA145" s="27" t="s">
        <v>4</v>
      </c>
      <c r="AB145" s="27"/>
      <c r="AC145" s="47"/>
      <c r="AD145" s="48"/>
      <c r="AE145" s="40"/>
      <c r="AF145" s="41"/>
    </row>
    <row r="146" spans="3:32" ht="57" customHeight="1">
      <c r="C146" s="10">
        <f>D146+M146+V146</f>
        <v>938400</v>
      </c>
      <c r="D146" s="21">
        <f>F146+G146</f>
        <v>316710</v>
      </c>
      <c r="E146" s="21"/>
      <c r="F146" s="1">
        <f>G146*0.15</f>
        <v>41310</v>
      </c>
      <c r="G146" s="22">
        <f>I146*K146</f>
        <v>275400</v>
      </c>
      <c r="H146" s="22"/>
      <c r="I146" s="23">
        <v>27</v>
      </c>
      <c r="J146" s="23"/>
      <c r="K146" s="11" t="s">
        <v>189</v>
      </c>
      <c r="L146" s="5" t="s">
        <v>135</v>
      </c>
      <c r="M146" s="21">
        <f>O146+P146</f>
        <v>316710</v>
      </c>
      <c r="N146" s="21"/>
      <c r="O146" s="1">
        <f>P146*0.15</f>
        <v>41310</v>
      </c>
      <c r="P146" s="22">
        <f>R146*T146</f>
        <v>275400</v>
      </c>
      <c r="Q146" s="22"/>
      <c r="R146" s="23">
        <v>27</v>
      </c>
      <c r="S146" s="23"/>
      <c r="T146" s="11" t="s">
        <v>189</v>
      </c>
      <c r="U146" s="5" t="s">
        <v>135</v>
      </c>
      <c r="V146" s="21">
        <f>X146+Y146</f>
        <v>304980</v>
      </c>
      <c r="W146" s="21"/>
      <c r="X146" s="1">
        <f>Y146*0.15</f>
        <v>39780</v>
      </c>
      <c r="Y146" s="22">
        <f>AC146*AA146</f>
        <v>265200</v>
      </c>
      <c r="Z146" s="22"/>
      <c r="AA146" s="23">
        <v>26</v>
      </c>
      <c r="AB146" s="23"/>
      <c r="AC146" s="11" t="s">
        <v>189</v>
      </c>
      <c r="AD146" s="11" t="s">
        <v>135</v>
      </c>
      <c r="AE146" s="14" t="s">
        <v>186</v>
      </c>
      <c r="AF146" s="5">
        <v>1</v>
      </c>
    </row>
    <row r="147" spans="3:32" ht="57" customHeight="1">
      <c r="C147" s="10">
        <f t="shared" ref="C147:C148" si="96">D147+M147+V147</f>
        <v>5233926</v>
      </c>
      <c r="D147" s="21">
        <f t="shared" ref="D147:D148" si="97">F147+G147</f>
        <v>1847268</v>
      </c>
      <c r="E147" s="21"/>
      <c r="F147" s="1">
        <f t="shared" ref="F147:F148" si="98">G147*0.15</f>
        <v>240948</v>
      </c>
      <c r="G147" s="22">
        <f t="shared" ref="G147:G148" si="99">I147*K147</f>
        <v>1606320</v>
      </c>
      <c r="H147" s="22"/>
      <c r="I147" s="23">
        <v>30</v>
      </c>
      <c r="J147" s="23"/>
      <c r="K147" s="11" t="s">
        <v>190</v>
      </c>
      <c r="L147" s="5" t="s">
        <v>135</v>
      </c>
      <c r="M147" s="21">
        <f t="shared" ref="M147:M148" si="100">O147+P147</f>
        <v>1724116.8</v>
      </c>
      <c r="N147" s="21"/>
      <c r="O147" s="1">
        <f t="shared" ref="O147:O148" si="101">P147*0.15</f>
        <v>224884.8</v>
      </c>
      <c r="P147" s="22">
        <f t="shared" ref="P147:P148" si="102">R147*T147</f>
        <v>1499232</v>
      </c>
      <c r="Q147" s="22"/>
      <c r="R147" s="23" t="s">
        <v>64</v>
      </c>
      <c r="S147" s="23"/>
      <c r="T147" s="11" t="s">
        <v>190</v>
      </c>
      <c r="U147" s="5" t="s">
        <v>135</v>
      </c>
      <c r="V147" s="21">
        <f t="shared" ref="V147:V148" si="103">X147+Y147</f>
        <v>1662541.2</v>
      </c>
      <c r="W147" s="21"/>
      <c r="X147" s="1">
        <f t="shared" ref="X147:X148" si="104">Y147*0.15</f>
        <v>216853.19999999998</v>
      </c>
      <c r="Y147" s="22">
        <f>AC147*AA147</f>
        <v>1445688</v>
      </c>
      <c r="Z147" s="22"/>
      <c r="AA147" s="23">
        <v>27</v>
      </c>
      <c r="AB147" s="23"/>
      <c r="AC147" s="11" t="s">
        <v>190</v>
      </c>
      <c r="AD147" s="11" t="s">
        <v>135</v>
      </c>
      <c r="AE147" s="14" t="s">
        <v>187</v>
      </c>
      <c r="AF147" s="5">
        <v>2</v>
      </c>
    </row>
    <row r="148" spans="3:32" ht="57" customHeight="1">
      <c r="C148" s="10">
        <f t="shared" si="96"/>
        <v>1975194</v>
      </c>
      <c r="D148" s="21">
        <f t="shared" si="97"/>
        <v>709044</v>
      </c>
      <c r="E148" s="21"/>
      <c r="F148" s="1">
        <f t="shared" si="98"/>
        <v>92484</v>
      </c>
      <c r="G148" s="22">
        <f t="shared" si="99"/>
        <v>616560</v>
      </c>
      <c r="H148" s="22"/>
      <c r="I148" s="23" t="s">
        <v>193</v>
      </c>
      <c r="J148" s="23"/>
      <c r="K148" s="11" t="s">
        <v>191</v>
      </c>
      <c r="L148" s="5" t="s">
        <v>135</v>
      </c>
      <c r="M148" s="21">
        <f t="shared" si="100"/>
        <v>658398</v>
      </c>
      <c r="N148" s="21"/>
      <c r="O148" s="1">
        <f t="shared" si="101"/>
        <v>85878</v>
      </c>
      <c r="P148" s="22">
        <f t="shared" si="102"/>
        <v>572520</v>
      </c>
      <c r="Q148" s="22"/>
      <c r="R148" s="23" t="s">
        <v>192</v>
      </c>
      <c r="S148" s="23"/>
      <c r="T148" s="11" t="s">
        <v>191</v>
      </c>
      <c r="U148" s="5" t="s">
        <v>135</v>
      </c>
      <c r="V148" s="21">
        <f t="shared" si="103"/>
        <v>607752</v>
      </c>
      <c r="W148" s="21"/>
      <c r="X148" s="1">
        <f t="shared" si="104"/>
        <v>79272</v>
      </c>
      <c r="Y148" s="22">
        <f>AC148*AA148</f>
        <v>528480</v>
      </c>
      <c r="Z148" s="22"/>
      <c r="AA148" s="23">
        <v>60</v>
      </c>
      <c r="AB148" s="23"/>
      <c r="AC148" s="11" t="s">
        <v>191</v>
      </c>
      <c r="AD148" s="11" t="s">
        <v>135</v>
      </c>
      <c r="AE148" s="14" t="s">
        <v>188</v>
      </c>
      <c r="AF148" s="5">
        <v>3</v>
      </c>
    </row>
    <row r="149" spans="3:32" ht="57" customHeight="1">
      <c r="D149" s="50">
        <f>SUM(C93:C148)*0.85</f>
        <v>7249377.5324999988</v>
      </c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1"/>
      <c r="AB149" s="52" t="s">
        <v>3</v>
      </c>
      <c r="AC149" s="52"/>
      <c r="AD149" s="52"/>
      <c r="AE149" s="52"/>
      <c r="AF149" s="53"/>
    </row>
    <row r="150" spans="3:32" ht="57" customHeight="1">
      <c r="D150" s="15">
        <f>D149*0.15</f>
        <v>1087406.6298749999</v>
      </c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7"/>
      <c r="AB150" s="49" t="s">
        <v>6</v>
      </c>
      <c r="AC150" s="19"/>
      <c r="AD150" s="19"/>
      <c r="AE150" s="19"/>
      <c r="AF150" s="20"/>
    </row>
    <row r="151" spans="3:32" ht="57" customHeight="1">
      <c r="D151" s="15">
        <f>D149+D150</f>
        <v>8336784.1623749984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7"/>
      <c r="AB151" s="18" t="s">
        <v>7</v>
      </c>
      <c r="AC151" s="19"/>
      <c r="AD151" s="19"/>
      <c r="AE151" s="19"/>
      <c r="AF151" s="20"/>
    </row>
  </sheetData>
  <mergeCells count="1016">
    <mergeCell ref="D119:E119"/>
    <mergeCell ref="G119:H119"/>
    <mergeCell ref="I119:J119"/>
    <mergeCell ref="M119:N119"/>
    <mergeCell ref="P119:Q119"/>
    <mergeCell ref="R119:S119"/>
    <mergeCell ref="V119:W119"/>
    <mergeCell ref="Y119:Z119"/>
    <mergeCell ref="AA119:AB119"/>
    <mergeCell ref="D120:E120"/>
    <mergeCell ref="G120:H120"/>
    <mergeCell ref="I120:J120"/>
    <mergeCell ref="M120:N120"/>
    <mergeCell ref="P120:Q120"/>
    <mergeCell ref="R120:S120"/>
    <mergeCell ref="V120:W120"/>
    <mergeCell ref="Y120:Z120"/>
    <mergeCell ref="AA120:AB120"/>
    <mergeCell ref="D117:E117"/>
    <mergeCell ref="G117:H117"/>
    <mergeCell ref="I117:J117"/>
    <mergeCell ref="M117:N117"/>
    <mergeCell ref="P117:Q117"/>
    <mergeCell ref="R117:S117"/>
    <mergeCell ref="V117:W117"/>
    <mergeCell ref="Y117:Z117"/>
    <mergeCell ref="AA117:AB117"/>
    <mergeCell ref="D118:E118"/>
    <mergeCell ref="G118:H118"/>
    <mergeCell ref="I118:J118"/>
    <mergeCell ref="M118:N118"/>
    <mergeCell ref="P118:Q118"/>
    <mergeCell ref="R118:S118"/>
    <mergeCell ref="V118:W118"/>
    <mergeCell ref="Y118:Z118"/>
    <mergeCell ref="AA118:AB118"/>
    <mergeCell ref="D115:E115"/>
    <mergeCell ref="G115:H115"/>
    <mergeCell ref="I115:J115"/>
    <mergeCell ref="M115:N115"/>
    <mergeCell ref="P115:Q115"/>
    <mergeCell ref="R115:S115"/>
    <mergeCell ref="V115:W115"/>
    <mergeCell ref="Y115:Z115"/>
    <mergeCell ref="AA115:AB115"/>
    <mergeCell ref="D116:E116"/>
    <mergeCell ref="G116:H116"/>
    <mergeCell ref="I116:J116"/>
    <mergeCell ref="M116:N116"/>
    <mergeCell ref="P116:Q116"/>
    <mergeCell ref="R116:S116"/>
    <mergeCell ref="V116:W116"/>
    <mergeCell ref="Y116:Z116"/>
    <mergeCell ref="AA116:AB116"/>
    <mergeCell ref="D113:E113"/>
    <mergeCell ref="G113:H113"/>
    <mergeCell ref="I113:J113"/>
    <mergeCell ref="M113:N113"/>
    <mergeCell ref="P113:Q113"/>
    <mergeCell ref="R113:S113"/>
    <mergeCell ref="V113:W113"/>
    <mergeCell ref="Y113:Z113"/>
    <mergeCell ref="AA113:AB113"/>
    <mergeCell ref="D114:E114"/>
    <mergeCell ref="G114:H114"/>
    <mergeCell ref="I114:J114"/>
    <mergeCell ref="M114:N114"/>
    <mergeCell ref="P114:Q114"/>
    <mergeCell ref="R114:S114"/>
    <mergeCell ref="V114:W114"/>
    <mergeCell ref="Y114:Z114"/>
    <mergeCell ref="AA114:AB114"/>
    <mergeCell ref="D111:E111"/>
    <mergeCell ref="G111:H111"/>
    <mergeCell ref="I111:J111"/>
    <mergeCell ref="M111:N111"/>
    <mergeCell ref="P111:Q111"/>
    <mergeCell ref="R111:S111"/>
    <mergeCell ref="V111:W111"/>
    <mergeCell ref="Y111:Z111"/>
    <mergeCell ref="AA111:AB111"/>
    <mergeCell ref="D112:E112"/>
    <mergeCell ref="G112:H112"/>
    <mergeCell ref="I112:J112"/>
    <mergeCell ref="M112:N112"/>
    <mergeCell ref="P112:Q112"/>
    <mergeCell ref="R112:S112"/>
    <mergeCell ref="V112:W112"/>
    <mergeCell ref="Y112:Z112"/>
    <mergeCell ref="AA112:AB112"/>
    <mergeCell ref="D109:E109"/>
    <mergeCell ref="G109:H109"/>
    <mergeCell ref="I109:J109"/>
    <mergeCell ref="M109:N109"/>
    <mergeCell ref="P109:Q109"/>
    <mergeCell ref="R109:S109"/>
    <mergeCell ref="V109:W109"/>
    <mergeCell ref="Y109:Z109"/>
    <mergeCell ref="AA109:AB109"/>
    <mergeCell ref="D110:E110"/>
    <mergeCell ref="G110:H110"/>
    <mergeCell ref="I110:J110"/>
    <mergeCell ref="M110:N110"/>
    <mergeCell ref="P110:Q110"/>
    <mergeCell ref="R110:S110"/>
    <mergeCell ref="V110:W110"/>
    <mergeCell ref="Y110:Z110"/>
    <mergeCell ref="AA110:AB110"/>
    <mergeCell ref="D107:E107"/>
    <mergeCell ref="G107:H107"/>
    <mergeCell ref="I107:J107"/>
    <mergeCell ref="M107:N107"/>
    <mergeCell ref="P107:Q107"/>
    <mergeCell ref="R107:S107"/>
    <mergeCell ref="V107:W107"/>
    <mergeCell ref="Y107:Z107"/>
    <mergeCell ref="AA107:AB107"/>
    <mergeCell ref="D108:E108"/>
    <mergeCell ref="G108:H108"/>
    <mergeCell ref="I108:J108"/>
    <mergeCell ref="M108:N108"/>
    <mergeCell ref="P108:Q108"/>
    <mergeCell ref="R108:S108"/>
    <mergeCell ref="V108:W108"/>
    <mergeCell ref="Y108:Z108"/>
    <mergeCell ref="AA108:AB108"/>
    <mergeCell ref="D105:E105"/>
    <mergeCell ref="G105:H105"/>
    <mergeCell ref="I105:J105"/>
    <mergeCell ref="M105:N105"/>
    <mergeCell ref="P105:Q105"/>
    <mergeCell ref="R105:S105"/>
    <mergeCell ref="V105:W105"/>
    <mergeCell ref="Y105:Z105"/>
    <mergeCell ref="AA105:AB105"/>
    <mergeCell ref="D106:E106"/>
    <mergeCell ref="G106:H106"/>
    <mergeCell ref="I106:J106"/>
    <mergeCell ref="M106:N106"/>
    <mergeCell ref="P106:Q106"/>
    <mergeCell ref="R106:S106"/>
    <mergeCell ref="V106:W106"/>
    <mergeCell ref="Y106:Z106"/>
    <mergeCell ref="AA106:AB106"/>
    <mergeCell ref="D103:E103"/>
    <mergeCell ref="G103:H103"/>
    <mergeCell ref="I103:J103"/>
    <mergeCell ref="M103:N103"/>
    <mergeCell ref="P103:Q103"/>
    <mergeCell ref="R103:S103"/>
    <mergeCell ref="V103:W103"/>
    <mergeCell ref="Y103:Z103"/>
    <mergeCell ref="AA103:AB103"/>
    <mergeCell ref="D104:E104"/>
    <mergeCell ref="G104:H104"/>
    <mergeCell ref="I104:J104"/>
    <mergeCell ref="M104:N104"/>
    <mergeCell ref="P104:Q104"/>
    <mergeCell ref="R104:S104"/>
    <mergeCell ref="V104:W104"/>
    <mergeCell ref="Y104:Z104"/>
    <mergeCell ref="AA104:AB104"/>
    <mergeCell ref="D101:E101"/>
    <mergeCell ref="G101:H101"/>
    <mergeCell ref="I101:J101"/>
    <mergeCell ref="M101:N101"/>
    <mergeCell ref="P101:Q101"/>
    <mergeCell ref="R101:S101"/>
    <mergeCell ref="V101:W101"/>
    <mergeCell ref="Y101:Z101"/>
    <mergeCell ref="AA101:AB101"/>
    <mergeCell ref="D102:E102"/>
    <mergeCell ref="G102:H102"/>
    <mergeCell ref="I102:J102"/>
    <mergeCell ref="M102:N102"/>
    <mergeCell ref="P102:Q102"/>
    <mergeCell ref="R102:S102"/>
    <mergeCell ref="V102:W102"/>
    <mergeCell ref="Y102:Z102"/>
    <mergeCell ref="AA102:AB102"/>
    <mergeCell ref="D99:E99"/>
    <mergeCell ref="G99:H99"/>
    <mergeCell ref="I99:J99"/>
    <mergeCell ref="M99:N99"/>
    <mergeCell ref="P99:Q99"/>
    <mergeCell ref="R99:S99"/>
    <mergeCell ref="V99:W99"/>
    <mergeCell ref="Y99:Z99"/>
    <mergeCell ref="AA99:AB99"/>
    <mergeCell ref="D100:E100"/>
    <mergeCell ref="G100:H100"/>
    <mergeCell ref="I100:J100"/>
    <mergeCell ref="M100:N100"/>
    <mergeCell ref="P100:Q100"/>
    <mergeCell ref="R100:S100"/>
    <mergeCell ref="V100:W100"/>
    <mergeCell ref="Y100:Z100"/>
    <mergeCell ref="AA100:AB100"/>
    <mergeCell ref="D97:E97"/>
    <mergeCell ref="G97:H97"/>
    <mergeCell ref="I97:J97"/>
    <mergeCell ref="M97:N97"/>
    <mergeCell ref="P97:Q97"/>
    <mergeCell ref="R97:S97"/>
    <mergeCell ref="V97:W97"/>
    <mergeCell ref="Y97:Z97"/>
    <mergeCell ref="AA97:AB97"/>
    <mergeCell ref="D98:E98"/>
    <mergeCell ref="G98:H98"/>
    <mergeCell ref="I98:J98"/>
    <mergeCell ref="M98:N98"/>
    <mergeCell ref="P98:Q98"/>
    <mergeCell ref="R98:S98"/>
    <mergeCell ref="V98:W98"/>
    <mergeCell ref="Y98:Z98"/>
    <mergeCell ref="AA98:AB98"/>
    <mergeCell ref="D95:E95"/>
    <mergeCell ref="G95:H95"/>
    <mergeCell ref="I95:J95"/>
    <mergeCell ref="M95:N95"/>
    <mergeCell ref="P95:Q95"/>
    <mergeCell ref="R95:S95"/>
    <mergeCell ref="V95:W95"/>
    <mergeCell ref="Y95:Z95"/>
    <mergeCell ref="AA95:AB95"/>
    <mergeCell ref="D96:E96"/>
    <mergeCell ref="G96:H96"/>
    <mergeCell ref="I96:J96"/>
    <mergeCell ref="M96:N96"/>
    <mergeCell ref="P96:Q96"/>
    <mergeCell ref="R96:S96"/>
    <mergeCell ref="V96:W96"/>
    <mergeCell ref="Y96:Z96"/>
    <mergeCell ref="AA96:AB96"/>
    <mergeCell ref="D94:E94"/>
    <mergeCell ref="G94:H94"/>
    <mergeCell ref="I94:J94"/>
    <mergeCell ref="M94:N94"/>
    <mergeCell ref="P94:Q94"/>
    <mergeCell ref="R94:S94"/>
    <mergeCell ref="V94:W94"/>
    <mergeCell ref="Y94:Z94"/>
    <mergeCell ref="AA94:AB94"/>
    <mergeCell ref="D93:E93"/>
    <mergeCell ref="G93:H93"/>
    <mergeCell ref="I93:J93"/>
    <mergeCell ref="M93:N93"/>
    <mergeCell ref="P93:Q93"/>
    <mergeCell ref="R93:S93"/>
    <mergeCell ref="V93:W93"/>
    <mergeCell ref="Y93:Z93"/>
    <mergeCell ref="AA93:AB93"/>
    <mergeCell ref="D92:E92"/>
    <mergeCell ref="G92:H92"/>
    <mergeCell ref="I92:J92"/>
    <mergeCell ref="M92:N92"/>
    <mergeCell ref="P92:Q92"/>
    <mergeCell ref="R92:S92"/>
    <mergeCell ref="V92:W92"/>
    <mergeCell ref="Y92:Z92"/>
    <mergeCell ref="AA92:AB92"/>
    <mergeCell ref="AA79:AB79"/>
    <mergeCell ref="V79:W79"/>
    <mergeCell ref="R79:S79"/>
    <mergeCell ref="M79:N79"/>
    <mergeCell ref="I79:J79"/>
    <mergeCell ref="G79:H79"/>
    <mergeCell ref="D79:E79"/>
    <mergeCell ref="D90:E90"/>
    <mergeCell ref="G90:H90"/>
    <mergeCell ref="I90:J90"/>
    <mergeCell ref="M90:N90"/>
    <mergeCell ref="P90:Q90"/>
    <mergeCell ref="R90:S90"/>
    <mergeCell ref="V90:W90"/>
    <mergeCell ref="Y90:Z90"/>
    <mergeCell ref="AA90:AB90"/>
    <mergeCell ref="D91:E91"/>
    <mergeCell ref="G91:H91"/>
    <mergeCell ref="I91:J91"/>
    <mergeCell ref="M91:N91"/>
    <mergeCell ref="P91:Q91"/>
    <mergeCell ref="R91:S91"/>
    <mergeCell ref="V91:W91"/>
    <mergeCell ref="Y91:Z91"/>
    <mergeCell ref="AA91:AB91"/>
    <mergeCell ref="D88:E88"/>
    <mergeCell ref="G88:H88"/>
    <mergeCell ref="I88:J88"/>
    <mergeCell ref="M88:N88"/>
    <mergeCell ref="P88:Q88"/>
    <mergeCell ref="R88:S88"/>
    <mergeCell ref="V88:W88"/>
    <mergeCell ref="Y88:Z88"/>
    <mergeCell ref="AA88:AB88"/>
    <mergeCell ref="D89:E89"/>
    <mergeCell ref="G89:H89"/>
    <mergeCell ref="I89:J89"/>
    <mergeCell ref="M89:N89"/>
    <mergeCell ref="P89:Q89"/>
    <mergeCell ref="R89:S89"/>
    <mergeCell ref="V89:W89"/>
    <mergeCell ref="Y89:Z89"/>
    <mergeCell ref="AA89:AB89"/>
    <mergeCell ref="D86:E86"/>
    <mergeCell ref="G86:H86"/>
    <mergeCell ref="I86:J86"/>
    <mergeCell ref="M86:N86"/>
    <mergeCell ref="P86:Q86"/>
    <mergeCell ref="R86:S86"/>
    <mergeCell ref="V86:W86"/>
    <mergeCell ref="Y86:Z86"/>
    <mergeCell ref="AA86:AB86"/>
    <mergeCell ref="D87:E87"/>
    <mergeCell ref="G87:H87"/>
    <mergeCell ref="I87:J87"/>
    <mergeCell ref="M87:N87"/>
    <mergeCell ref="P87:Q87"/>
    <mergeCell ref="R87:S87"/>
    <mergeCell ref="V87:W87"/>
    <mergeCell ref="Y87:Z87"/>
    <mergeCell ref="AA87:AB87"/>
    <mergeCell ref="D84:E84"/>
    <mergeCell ref="G84:H84"/>
    <mergeCell ref="I84:J84"/>
    <mergeCell ref="M84:N84"/>
    <mergeCell ref="P84:Q84"/>
    <mergeCell ref="R84:S84"/>
    <mergeCell ref="V84:W84"/>
    <mergeCell ref="Y84:Z84"/>
    <mergeCell ref="AA84:AB84"/>
    <mergeCell ref="D85:E85"/>
    <mergeCell ref="G85:H85"/>
    <mergeCell ref="I85:J85"/>
    <mergeCell ref="M85:N85"/>
    <mergeCell ref="P85:Q85"/>
    <mergeCell ref="R85:S85"/>
    <mergeCell ref="V85:W85"/>
    <mergeCell ref="Y85:Z85"/>
    <mergeCell ref="AA85:AB85"/>
    <mergeCell ref="D82:E82"/>
    <mergeCell ref="G82:H82"/>
    <mergeCell ref="I82:J82"/>
    <mergeCell ref="M82:N82"/>
    <mergeCell ref="P82:Q82"/>
    <mergeCell ref="R82:S82"/>
    <mergeCell ref="V82:W82"/>
    <mergeCell ref="Y82:Z82"/>
    <mergeCell ref="AA82:AB82"/>
    <mergeCell ref="D83:E83"/>
    <mergeCell ref="G83:H83"/>
    <mergeCell ref="I83:J83"/>
    <mergeCell ref="M83:N83"/>
    <mergeCell ref="P83:Q83"/>
    <mergeCell ref="R83:S83"/>
    <mergeCell ref="V83:W83"/>
    <mergeCell ref="Y83:Z83"/>
    <mergeCell ref="AA83:AB83"/>
    <mergeCell ref="D78:E78"/>
    <mergeCell ref="G78:H78"/>
    <mergeCell ref="I78:J78"/>
    <mergeCell ref="M78:N78"/>
    <mergeCell ref="R78:S78"/>
    <mergeCell ref="V78:W78"/>
    <mergeCell ref="AA78:AB78"/>
    <mergeCell ref="D81:E81"/>
    <mergeCell ref="G81:H81"/>
    <mergeCell ref="I81:J81"/>
    <mergeCell ref="M81:N81"/>
    <mergeCell ref="P81:Q81"/>
    <mergeCell ref="R81:S81"/>
    <mergeCell ref="V81:W81"/>
    <mergeCell ref="Y81:Z81"/>
    <mergeCell ref="AA81:AB81"/>
    <mergeCell ref="D80:E80"/>
    <mergeCell ref="G80:H80"/>
    <mergeCell ref="I80:J80"/>
    <mergeCell ref="M80:N80"/>
    <mergeCell ref="P80:Q80"/>
    <mergeCell ref="R80:S80"/>
    <mergeCell ref="V80:W80"/>
    <mergeCell ref="Y80:Z80"/>
    <mergeCell ref="AA80:AB80"/>
    <mergeCell ref="D75:E75"/>
    <mergeCell ref="G75:H75"/>
    <mergeCell ref="I75:J75"/>
    <mergeCell ref="M75:N75"/>
    <mergeCell ref="R75:S75"/>
    <mergeCell ref="V75:W75"/>
    <mergeCell ref="AA75:AB75"/>
    <mergeCell ref="D76:E76"/>
    <mergeCell ref="G76:H76"/>
    <mergeCell ref="I76:J76"/>
    <mergeCell ref="M76:N76"/>
    <mergeCell ref="R76:S76"/>
    <mergeCell ref="V76:W76"/>
    <mergeCell ref="AA76:AB76"/>
    <mergeCell ref="D77:E77"/>
    <mergeCell ref="G77:H77"/>
    <mergeCell ref="I77:J77"/>
    <mergeCell ref="M77:N77"/>
    <mergeCell ref="R77:S77"/>
    <mergeCell ref="V77:W77"/>
    <mergeCell ref="AA77:AB77"/>
    <mergeCell ref="D73:E73"/>
    <mergeCell ref="G73:H73"/>
    <mergeCell ref="I73:J73"/>
    <mergeCell ref="M73:N73"/>
    <mergeCell ref="R73:S73"/>
    <mergeCell ref="V73:W73"/>
    <mergeCell ref="AA73:AB73"/>
    <mergeCell ref="D74:E74"/>
    <mergeCell ref="G74:H74"/>
    <mergeCell ref="I74:J74"/>
    <mergeCell ref="M74:N74"/>
    <mergeCell ref="R74:S74"/>
    <mergeCell ref="V74:W74"/>
    <mergeCell ref="AA74:AB74"/>
    <mergeCell ref="P74:Q74"/>
    <mergeCell ref="Y74:Z74"/>
    <mergeCell ref="P73:Q73"/>
    <mergeCell ref="Y73:Z73"/>
    <mergeCell ref="D71:E71"/>
    <mergeCell ref="G71:H71"/>
    <mergeCell ref="I71:J71"/>
    <mergeCell ref="M71:N71"/>
    <mergeCell ref="R71:S71"/>
    <mergeCell ref="V71:W71"/>
    <mergeCell ref="AA71:AB71"/>
    <mergeCell ref="D72:E72"/>
    <mergeCell ref="G72:H72"/>
    <mergeCell ref="I72:J72"/>
    <mergeCell ref="M72:N72"/>
    <mergeCell ref="R72:S72"/>
    <mergeCell ref="V72:W72"/>
    <mergeCell ref="AA72:AB72"/>
    <mergeCell ref="P72:Q72"/>
    <mergeCell ref="Y72:Z72"/>
    <mergeCell ref="P71:Q71"/>
    <mergeCell ref="Y71:Z71"/>
    <mergeCell ref="D69:E69"/>
    <mergeCell ref="G69:H69"/>
    <mergeCell ref="I69:J69"/>
    <mergeCell ref="M69:N69"/>
    <mergeCell ref="R69:S69"/>
    <mergeCell ref="V69:W69"/>
    <mergeCell ref="AA69:AB69"/>
    <mergeCell ref="D70:E70"/>
    <mergeCell ref="G70:H70"/>
    <mergeCell ref="I70:J70"/>
    <mergeCell ref="M70:N70"/>
    <mergeCell ref="R70:S70"/>
    <mergeCell ref="V70:W70"/>
    <mergeCell ref="AA70:AB70"/>
    <mergeCell ref="P70:Q70"/>
    <mergeCell ref="Y70:Z70"/>
    <mergeCell ref="P69:Q69"/>
    <mergeCell ref="Y69:Z69"/>
    <mergeCell ref="AA66:AB66"/>
    <mergeCell ref="D65:E65"/>
    <mergeCell ref="G65:H65"/>
    <mergeCell ref="I65:J65"/>
    <mergeCell ref="P66:Q66"/>
    <mergeCell ref="Y66:Z66"/>
    <mergeCell ref="P65:Q65"/>
    <mergeCell ref="Y65:Z65"/>
    <mergeCell ref="D67:E67"/>
    <mergeCell ref="G67:H67"/>
    <mergeCell ref="I67:J67"/>
    <mergeCell ref="M67:N67"/>
    <mergeCell ref="R67:S67"/>
    <mergeCell ref="V67:W67"/>
    <mergeCell ref="AA67:AB67"/>
    <mergeCell ref="D68:E68"/>
    <mergeCell ref="G68:H68"/>
    <mergeCell ref="I68:J68"/>
    <mergeCell ref="M68:N68"/>
    <mergeCell ref="R68:S68"/>
    <mergeCell ref="V68:W68"/>
    <mergeCell ref="AA68:AB68"/>
    <mergeCell ref="P68:Q68"/>
    <mergeCell ref="Y68:Z68"/>
    <mergeCell ref="P67:Q67"/>
    <mergeCell ref="Y67:Z67"/>
    <mergeCell ref="C63:C64"/>
    <mergeCell ref="D63:E63"/>
    <mergeCell ref="G63:H63"/>
    <mergeCell ref="I63:J63"/>
    <mergeCell ref="K63:K64"/>
    <mergeCell ref="L63:L64"/>
    <mergeCell ref="M63:N63"/>
    <mergeCell ref="P63:Q63"/>
    <mergeCell ref="R63:S63"/>
    <mergeCell ref="D64:E64"/>
    <mergeCell ref="G64:H64"/>
    <mergeCell ref="I64:J64"/>
    <mergeCell ref="M64:N64"/>
    <mergeCell ref="R64:S64"/>
    <mergeCell ref="M65:N65"/>
    <mergeCell ref="R65:S65"/>
    <mergeCell ref="V65:W65"/>
    <mergeCell ref="P79:Q79"/>
    <mergeCell ref="Y79:Z79"/>
    <mergeCell ref="P78:Q78"/>
    <mergeCell ref="Y78:Z78"/>
    <mergeCell ref="P77:Q77"/>
    <mergeCell ref="Y77:Z77"/>
    <mergeCell ref="P76:Q76"/>
    <mergeCell ref="Y76:Z76"/>
    <mergeCell ref="P75:Q75"/>
    <mergeCell ref="Y75:Z75"/>
    <mergeCell ref="D61:AF61"/>
    <mergeCell ref="D62:L62"/>
    <mergeCell ref="M62:U62"/>
    <mergeCell ref="V62:AD62"/>
    <mergeCell ref="AE62:AE64"/>
    <mergeCell ref="AF62:AF64"/>
    <mergeCell ref="T63:T64"/>
    <mergeCell ref="U63:U64"/>
    <mergeCell ref="V63:W63"/>
    <mergeCell ref="Y63:Z63"/>
    <mergeCell ref="AA63:AB63"/>
    <mergeCell ref="AC63:AC64"/>
    <mergeCell ref="AD63:AD64"/>
    <mergeCell ref="V64:W64"/>
    <mergeCell ref="AA64:AB64"/>
    <mergeCell ref="AA65:AB65"/>
    <mergeCell ref="D66:E66"/>
    <mergeCell ref="G66:H66"/>
    <mergeCell ref="I66:J66"/>
    <mergeCell ref="M66:N66"/>
    <mergeCell ref="R66:S66"/>
    <mergeCell ref="V66:W66"/>
    <mergeCell ref="D55:AA55"/>
    <mergeCell ref="AB55:AF55"/>
    <mergeCell ref="D56:AA56"/>
    <mergeCell ref="AB56:AF56"/>
    <mergeCell ref="D57:AA57"/>
    <mergeCell ref="AB57:AF57"/>
    <mergeCell ref="P64:Q64"/>
    <mergeCell ref="Y64:Z64"/>
    <mergeCell ref="R53:S53"/>
    <mergeCell ref="V53:W53"/>
    <mergeCell ref="Y53:Z53"/>
    <mergeCell ref="AA53:AB53"/>
    <mergeCell ref="D54:E54"/>
    <mergeCell ref="G54:H54"/>
    <mergeCell ref="I54:J54"/>
    <mergeCell ref="M54:N54"/>
    <mergeCell ref="P54:Q54"/>
    <mergeCell ref="R54:S54"/>
    <mergeCell ref="V54:W54"/>
    <mergeCell ref="Y54:Z54"/>
    <mergeCell ref="AA54:AB54"/>
    <mergeCell ref="D53:E53"/>
    <mergeCell ref="G53:H53"/>
    <mergeCell ref="I53:J53"/>
    <mergeCell ref="M53:N53"/>
    <mergeCell ref="P53:Q53"/>
    <mergeCell ref="R51:S51"/>
    <mergeCell ref="V51:W51"/>
    <mergeCell ref="Y51:Z51"/>
    <mergeCell ref="AA51:AB51"/>
    <mergeCell ref="D52:E52"/>
    <mergeCell ref="G52:H52"/>
    <mergeCell ref="I52:J52"/>
    <mergeCell ref="M52:N52"/>
    <mergeCell ref="P52:Q52"/>
    <mergeCell ref="R52:S52"/>
    <mergeCell ref="V52:W52"/>
    <mergeCell ref="Y52:Z52"/>
    <mergeCell ref="AA52:AB52"/>
    <mergeCell ref="D51:E51"/>
    <mergeCell ref="G51:H51"/>
    <mergeCell ref="I51:J51"/>
    <mergeCell ref="M51:N51"/>
    <mergeCell ref="P51:Q51"/>
    <mergeCell ref="R49:S49"/>
    <mergeCell ref="V49:W49"/>
    <mergeCell ref="Y49:Z49"/>
    <mergeCell ref="AA49:AB49"/>
    <mergeCell ref="D50:E50"/>
    <mergeCell ref="G50:H50"/>
    <mergeCell ref="I50:J50"/>
    <mergeCell ref="M50:N50"/>
    <mergeCell ref="P50:Q50"/>
    <mergeCell ref="R50:S50"/>
    <mergeCell ref="V50:W50"/>
    <mergeCell ref="Y50:Z50"/>
    <mergeCell ref="AA50:AB50"/>
    <mergeCell ref="D49:E49"/>
    <mergeCell ref="G49:H49"/>
    <mergeCell ref="I49:J49"/>
    <mergeCell ref="M49:N49"/>
    <mergeCell ref="P49:Q49"/>
    <mergeCell ref="R47:S47"/>
    <mergeCell ref="V47:W47"/>
    <mergeCell ref="Y47:Z47"/>
    <mergeCell ref="AA47:AB47"/>
    <mergeCell ref="D48:E48"/>
    <mergeCell ref="G48:H48"/>
    <mergeCell ref="I48:J48"/>
    <mergeCell ref="M48:N48"/>
    <mergeCell ref="P48:Q48"/>
    <mergeCell ref="R48:S48"/>
    <mergeCell ref="V48:W48"/>
    <mergeCell ref="Y48:Z48"/>
    <mergeCell ref="AA48:AB48"/>
    <mergeCell ref="D47:E47"/>
    <mergeCell ref="G47:H47"/>
    <mergeCell ref="I47:J47"/>
    <mergeCell ref="M47:N47"/>
    <mergeCell ref="P47:Q47"/>
    <mergeCell ref="D44:E44"/>
    <mergeCell ref="G44:H44"/>
    <mergeCell ref="M44:N44"/>
    <mergeCell ref="P44:Q44"/>
    <mergeCell ref="V44:W44"/>
    <mergeCell ref="Y44:Z44"/>
    <mergeCell ref="AA44:AB44"/>
    <mergeCell ref="D43:E43"/>
    <mergeCell ref="G43:H43"/>
    <mergeCell ref="M43:N43"/>
    <mergeCell ref="P43:Q43"/>
    <mergeCell ref="R45:S45"/>
    <mergeCell ref="V45:W45"/>
    <mergeCell ref="Y45:Z45"/>
    <mergeCell ref="AA45:AB45"/>
    <mergeCell ref="D46:E46"/>
    <mergeCell ref="G46:H46"/>
    <mergeCell ref="I46:J46"/>
    <mergeCell ref="M46:N46"/>
    <mergeCell ref="P46:Q46"/>
    <mergeCell ref="R46:S46"/>
    <mergeCell ref="V46:W46"/>
    <mergeCell ref="Y46:Z46"/>
    <mergeCell ref="AA46:AB46"/>
    <mergeCell ref="D45:E45"/>
    <mergeCell ref="G45:H45"/>
    <mergeCell ref="I45:J45"/>
    <mergeCell ref="M45:N45"/>
    <mergeCell ref="P45:Q45"/>
    <mergeCell ref="V41:W41"/>
    <mergeCell ref="Y41:Z41"/>
    <mergeCell ref="AA41:AB41"/>
    <mergeCell ref="D42:E42"/>
    <mergeCell ref="G42:H42"/>
    <mergeCell ref="I42:J42"/>
    <mergeCell ref="M42:N42"/>
    <mergeCell ref="P42:Q42"/>
    <mergeCell ref="V42:W42"/>
    <mergeCell ref="Y42:Z42"/>
    <mergeCell ref="D41:E41"/>
    <mergeCell ref="G41:H41"/>
    <mergeCell ref="I41:J41"/>
    <mergeCell ref="M41:N41"/>
    <mergeCell ref="P41:Q41"/>
    <mergeCell ref="V43:W43"/>
    <mergeCell ref="Y43:Z43"/>
    <mergeCell ref="AA43:AB43"/>
    <mergeCell ref="AA42:AB42"/>
    <mergeCell ref="C39:C40"/>
    <mergeCell ref="D39:E39"/>
    <mergeCell ref="G39:H39"/>
    <mergeCell ref="I39:J39"/>
    <mergeCell ref="K39:K40"/>
    <mergeCell ref="D37:AF37"/>
    <mergeCell ref="D38:L38"/>
    <mergeCell ref="M38:U38"/>
    <mergeCell ref="V38:AD38"/>
    <mergeCell ref="AE38:AE40"/>
    <mergeCell ref="AF38:AF40"/>
    <mergeCell ref="L39:L40"/>
    <mergeCell ref="M39:N39"/>
    <mergeCell ref="P39:Q39"/>
    <mergeCell ref="R39:S39"/>
    <mergeCell ref="T39:T40"/>
    <mergeCell ref="U39:U40"/>
    <mergeCell ref="V39:W39"/>
    <mergeCell ref="Y39:Z39"/>
    <mergeCell ref="AA39:AB39"/>
    <mergeCell ref="AC39:AC40"/>
    <mergeCell ref="AD39:AD40"/>
    <mergeCell ref="D40:E40"/>
    <mergeCell ref="G40:H40"/>
    <mergeCell ref="I40:J40"/>
    <mergeCell ref="M40:N40"/>
    <mergeCell ref="P40:Q40"/>
    <mergeCell ref="R40:S40"/>
    <mergeCell ref="V40:W40"/>
    <mergeCell ref="Y40:Z40"/>
    <mergeCell ref="AA40:AB40"/>
    <mergeCell ref="D23:AA23"/>
    <mergeCell ref="D24:AA24"/>
    <mergeCell ref="R7:S7"/>
    <mergeCell ref="R8:S8"/>
    <mergeCell ref="R9:S9"/>
    <mergeCell ref="R10:S10"/>
    <mergeCell ref="R11:S11"/>
    <mergeCell ref="AA11:AB11"/>
    <mergeCell ref="AA15:AB15"/>
    <mergeCell ref="AA14:AB14"/>
    <mergeCell ref="AA16:AB16"/>
    <mergeCell ref="AA19:AB19"/>
    <mergeCell ref="AA18:AB18"/>
    <mergeCell ref="AA17:AB17"/>
    <mergeCell ref="AA12:AB12"/>
    <mergeCell ref="AA21:AB21"/>
    <mergeCell ref="AA20:AB20"/>
    <mergeCell ref="AA22:AB22"/>
    <mergeCell ref="R22:S22"/>
    <mergeCell ref="V22:W22"/>
    <mergeCell ref="Y22:Z22"/>
    <mergeCell ref="D22:E22"/>
    <mergeCell ref="G22:H22"/>
    <mergeCell ref="I22:J22"/>
    <mergeCell ref="AA7:AB7"/>
    <mergeCell ref="AA8:AB8"/>
    <mergeCell ref="D16:E16"/>
    <mergeCell ref="G16:H16"/>
    <mergeCell ref="I16:J16"/>
    <mergeCell ref="M16:N16"/>
    <mergeCell ref="P16:Q16"/>
    <mergeCell ref="M22:N22"/>
    <mergeCell ref="P22:Q22"/>
    <mergeCell ref="R20:S20"/>
    <mergeCell ref="V20:W20"/>
    <mergeCell ref="Y20:Z20"/>
    <mergeCell ref="D21:E21"/>
    <mergeCell ref="G21:H21"/>
    <mergeCell ref="I21:J21"/>
    <mergeCell ref="M21:N21"/>
    <mergeCell ref="P21:Q21"/>
    <mergeCell ref="R21:S21"/>
    <mergeCell ref="V21:W21"/>
    <mergeCell ref="Y21:Z21"/>
    <mergeCell ref="D20:E20"/>
    <mergeCell ref="G20:H20"/>
    <mergeCell ref="I20:J20"/>
    <mergeCell ref="M20:N20"/>
    <mergeCell ref="P20:Q20"/>
    <mergeCell ref="D19:E19"/>
    <mergeCell ref="G19:H19"/>
    <mergeCell ref="I19:J19"/>
    <mergeCell ref="M19:N19"/>
    <mergeCell ref="P19:Q19"/>
    <mergeCell ref="R19:S19"/>
    <mergeCell ref="V19:W19"/>
    <mergeCell ref="Y19:Z19"/>
    <mergeCell ref="D18:E18"/>
    <mergeCell ref="G18:H18"/>
    <mergeCell ref="I18:J18"/>
    <mergeCell ref="M18:N18"/>
    <mergeCell ref="P18:Q18"/>
    <mergeCell ref="R12:S12"/>
    <mergeCell ref="V12:W12"/>
    <mergeCell ref="Y12:Z12"/>
    <mergeCell ref="D17:E17"/>
    <mergeCell ref="G17:H17"/>
    <mergeCell ref="I17:J17"/>
    <mergeCell ref="M17:N17"/>
    <mergeCell ref="P17:Q17"/>
    <mergeCell ref="R17:S17"/>
    <mergeCell ref="V17:W17"/>
    <mergeCell ref="Y17:Z17"/>
    <mergeCell ref="D12:E12"/>
    <mergeCell ref="G12:H12"/>
    <mergeCell ref="I12:J12"/>
    <mergeCell ref="M12:N12"/>
    <mergeCell ref="P12:Q12"/>
    <mergeCell ref="R16:S16"/>
    <mergeCell ref="V16:W16"/>
    <mergeCell ref="Y16:Z16"/>
    <mergeCell ref="D25:AA25"/>
    <mergeCell ref="AB25:AF25"/>
    <mergeCell ref="D13:E13"/>
    <mergeCell ref="G13:H13"/>
    <mergeCell ref="I13:J13"/>
    <mergeCell ref="M13:N13"/>
    <mergeCell ref="P13:Q13"/>
    <mergeCell ref="R13:S13"/>
    <mergeCell ref="AB23:AF23"/>
    <mergeCell ref="AB24:AF24"/>
    <mergeCell ref="V13:W13"/>
    <mergeCell ref="Y13:Z13"/>
    <mergeCell ref="AA13:AB13"/>
    <mergeCell ref="D14:E14"/>
    <mergeCell ref="G14:H14"/>
    <mergeCell ref="Y14:Z14"/>
    <mergeCell ref="D15:E15"/>
    <mergeCell ref="G15:H15"/>
    <mergeCell ref="I15:J15"/>
    <mergeCell ref="M15:N15"/>
    <mergeCell ref="P15:Q15"/>
    <mergeCell ref="R15:S15"/>
    <mergeCell ref="V15:W15"/>
    <mergeCell ref="Y15:Z15"/>
    <mergeCell ref="I14:J14"/>
    <mergeCell ref="M14:N14"/>
    <mergeCell ref="P14:Q14"/>
    <mergeCell ref="R14:S14"/>
    <mergeCell ref="V14:W14"/>
    <mergeCell ref="R18:S18"/>
    <mergeCell ref="V18:W18"/>
    <mergeCell ref="Y18:Z18"/>
    <mergeCell ref="D3:AF3"/>
    <mergeCell ref="D9:E9"/>
    <mergeCell ref="G9:H9"/>
    <mergeCell ref="D10:E10"/>
    <mergeCell ref="G10:H10"/>
    <mergeCell ref="D11:E11"/>
    <mergeCell ref="I5:J5"/>
    <mergeCell ref="I6:J6"/>
    <mergeCell ref="K5:K6"/>
    <mergeCell ref="M11:N11"/>
    <mergeCell ref="M9:N9"/>
    <mergeCell ref="M10:N10"/>
    <mergeCell ref="I11:J11"/>
    <mergeCell ref="P9:Q9"/>
    <mergeCell ref="P10:Q10"/>
    <mergeCell ref="P11:Q11"/>
    <mergeCell ref="G11:H11"/>
    <mergeCell ref="M7:N7"/>
    <mergeCell ref="M8:N8"/>
    <mergeCell ref="P5:Q5"/>
    <mergeCell ref="P6:Q6"/>
    <mergeCell ref="P7:Q7"/>
    <mergeCell ref="P8:Q8"/>
    <mergeCell ref="V4:AD4"/>
    <mergeCell ref="AE4:AE6"/>
    <mergeCell ref="AF4:AF6"/>
    <mergeCell ref="R5:S5"/>
    <mergeCell ref="M6:N6"/>
    <mergeCell ref="R6:S6"/>
    <mergeCell ref="M4:U4"/>
    <mergeCell ref="V6:W6"/>
    <mergeCell ref="Y6:Z6"/>
    <mergeCell ref="T5:T6"/>
    <mergeCell ref="U5:U6"/>
    <mergeCell ref="C5:C6"/>
    <mergeCell ref="D7:E7"/>
    <mergeCell ref="G7:H7"/>
    <mergeCell ref="D8:E8"/>
    <mergeCell ref="G8:H8"/>
    <mergeCell ref="D5:E5"/>
    <mergeCell ref="G5:H5"/>
    <mergeCell ref="L5:L6"/>
    <mergeCell ref="D6:E6"/>
    <mergeCell ref="G6:H6"/>
    <mergeCell ref="I7:J7"/>
    <mergeCell ref="I8:J8"/>
    <mergeCell ref="D4:L4"/>
    <mergeCell ref="I9:J9"/>
    <mergeCell ref="I10:J10"/>
    <mergeCell ref="Y5:Z5"/>
    <mergeCell ref="AD5:AD6"/>
    <mergeCell ref="AC5:AC6"/>
    <mergeCell ref="AA5:AB5"/>
    <mergeCell ref="V5:W5"/>
    <mergeCell ref="AA6:AB6"/>
    <mergeCell ref="AA9:AB9"/>
    <mergeCell ref="AA10:AB10"/>
    <mergeCell ref="V7:W7"/>
    <mergeCell ref="V8:W8"/>
    <mergeCell ref="V9:W9"/>
    <mergeCell ref="V10:W10"/>
    <mergeCell ref="V11:W11"/>
    <mergeCell ref="Y7:Z7"/>
    <mergeCell ref="Y8:Z8"/>
    <mergeCell ref="Y9:Z9"/>
    <mergeCell ref="Y10:Z10"/>
    <mergeCell ref="Y11:Z11"/>
    <mergeCell ref="M5:N5"/>
    <mergeCell ref="D121:AA121"/>
    <mergeCell ref="AB121:AF121"/>
    <mergeCell ref="D122:AA122"/>
    <mergeCell ref="AB122:AF122"/>
    <mergeCell ref="D123:AA123"/>
    <mergeCell ref="AB123:AF123"/>
    <mergeCell ref="D128:AF128"/>
    <mergeCell ref="D129:L129"/>
    <mergeCell ref="M129:U129"/>
    <mergeCell ref="V129:AD129"/>
    <mergeCell ref="AE129:AE131"/>
    <mergeCell ref="AF129:AF131"/>
    <mergeCell ref="T130:T131"/>
    <mergeCell ref="U130:U131"/>
    <mergeCell ref="V130:W130"/>
    <mergeCell ref="Y130:Z130"/>
    <mergeCell ref="AA130:AB130"/>
    <mergeCell ref="AC130:AC131"/>
    <mergeCell ref="AD130:AD131"/>
    <mergeCell ref="V131:W131"/>
    <mergeCell ref="Y131:Z131"/>
    <mergeCell ref="AA131:AB131"/>
    <mergeCell ref="D132:E132"/>
    <mergeCell ref="G132:H132"/>
    <mergeCell ref="I132:J132"/>
    <mergeCell ref="M132:N132"/>
    <mergeCell ref="P132:Q132"/>
    <mergeCell ref="R132:S132"/>
    <mergeCell ref="V132:W132"/>
    <mergeCell ref="Y132:Z132"/>
    <mergeCell ref="AA132:AB132"/>
    <mergeCell ref="C130:C131"/>
    <mergeCell ref="D130:E130"/>
    <mergeCell ref="G130:H130"/>
    <mergeCell ref="I130:J130"/>
    <mergeCell ref="K130:K131"/>
    <mergeCell ref="L130:L131"/>
    <mergeCell ref="M130:N130"/>
    <mergeCell ref="P130:Q130"/>
    <mergeCell ref="R130:S130"/>
    <mergeCell ref="D131:E131"/>
    <mergeCell ref="G131:H131"/>
    <mergeCell ref="I131:J131"/>
    <mergeCell ref="M131:N131"/>
    <mergeCell ref="P131:Q131"/>
    <mergeCell ref="R131:S131"/>
    <mergeCell ref="D134:E134"/>
    <mergeCell ref="G134:H134"/>
    <mergeCell ref="I134:J134"/>
    <mergeCell ref="M134:N134"/>
    <mergeCell ref="P134:Q134"/>
    <mergeCell ref="R134:S134"/>
    <mergeCell ref="V134:W134"/>
    <mergeCell ref="Y134:Z134"/>
    <mergeCell ref="AA134:AB134"/>
    <mergeCell ref="D133:E133"/>
    <mergeCell ref="G133:H133"/>
    <mergeCell ref="I133:J133"/>
    <mergeCell ref="M133:N133"/>
    <mergeCell ref="P133:Q133"/>
    <mergeCell ref="R133:S133"/>
    <mergeCell ref="V133:W133"/>
    <mergeCell ref="Y133:Z133"/>
    <mergeCell ref="AA133:AB133"/>
    <mergeCell ref="AB150:AF150"/>
    <mergeCell ref="D149:AA149"/>
    <mergeCell ref="AB149:AF149"/>
    <mergeCell ref="Y148:Z148"/>
    <mergeCell ref="AA147:AB147"/>
    <mergeCell ref="AA148:AB148"/>
    <mergeCell ref="Y146:Z146"/>
    <mergeCell ref="Y147:Z147"/>
    <mergeCell ref="D136:AA136"/>
    <mergeCell ref="AB136:AF136"/>
    <mergeCell ref="D137:AA137"/>
    <mergeCell ref="AB137:AF137"/>
    <mergeCell ref="D138:AA138"/>
    <mergeCell ref="AB138:AF138"/>
    <mergeCell ref="D135:E135"/>
    <mergeCell ref="G135:H135"/>
    <mergeCell ref="I135:J135"/>
    <mergeCell ref="M135:N135"/>
    <mergeCell ref="P135:Q135"/>
    <mergeCell ref="R135:S135"/>
    <mergeCell ref="V135:W135"/>
    <mergeCell ref="Y135:Z135"/>
    <mergeCell ref="AA135:AB135"/>
    <mergeCell ref="D142:AF142"/>
    <mergeCell ref="D143:L143"/>
    <mergeCell ref="M143:U143"/>
    <mergeCell ref="V143:AD143"/>
    <mergeCell ref="AE143:AE145"/>
    <mergeCell ref="AF143:AF145"/>
    <mergeCell ref="C144:C145"/>
    <mergeCell ref="D144:E144"/>
    <mergeCell ref="G144:H144"/>
    <mergeCell ref="I144:J144"/>
    <mergeCell ref="K144:K145"/>
    <mergeCell ref="L144:L145"/>
    <mergeCell ref="M144:N144"/>
    <mergeCell ref="P144:Q144"/>
    <mergeCell ref="R144:S144"/>
    <mergeCell ref="T144:T145"/>
    <mergeCell ref="U144:U145"/>
    <mergeCell ref="V144:W144"/>
    <mergeCell ref="Y144:Z144"/>
    <mergeCell ref="AA144:AB144"/>
    <mergeCell ref="AC144:AC145"/>
    <mergeCell ref="AD144:AD145"/>
    <mergeCell ref="D145:E145"/>
    <mergeCell ref="G145:H145"/>
    <mergeCell ref="D151:AA151"/>
    <mergeCell ref="AB151:AF151"/>
    <mergeCell ref="D147:E147"/>
    <mergeCell ref="G147:H147"/>
    <mergeCell ref="I147:J147"/>
    <mergeCell ref="M147:N147"/>
    <mergeCell ref="P147:Q147"/>
    <mergeCell ref="R147:S147"/>
    <mergeCell ref="V147:W147"/>
    <mergeCell ref="D148:E148"/>
    <mergeCell ref="G148:H148"/>
    <mergeCell ref="I148:J148"/>
    <mergeCell ref="M148:N148"/>
    <mergeCell ref="P148:Q148"/>
    <mergeCell ref="R148:S148"/>
    <mergeCell ref="V148:W148"/>
    <mergeCell ref="I145:J145"/>
    <mergeCell ref="M145:N145"/>
    <mergeCell ref="P145:Q145"/>
    <mergeCell ref="R145:S145"/>
    <mergeCell ref="V145:W145"/>
    <mergeCell ref="Y145:Z145"/>
    <mergeCell ref="AA145:AB145"/>
    <mergeCell ref="D146:E146"/>
    <mergeCell ref="G146:H146"/>
    <mergeCell ref="I146:J146"/>
    <mergeCell ref="M146:N146"/>
    <mergeCell ref="P146:Q146"/>
    <mergeCell ref="R146:S146"/>
    <mergeCell ref="V146:W146"/>
    <mergeCell ref="AA146:AB146"/>
    <mergeCell ref="D150:AA150"/>
  </mergeCells>
  <dataValidations count="4">
    <dataValidation type="textLength" operator="lessThan" allowBlank="1" showInputMessage="1" showErrorMessage="1" sqref="AE7:AE22 AE41:AE54 AE65:AE120 AE124 AE132:AE135 AE146:AE148" xr:uid="{67DC3B74-96EF-48C4-8410-9E33FCE88457}">
      <formula1>500</formula1>
    </dataValidation>
    <dataValidation type="textLength" operator="lessThan" allowBlank="1" showInputMessage="1" showErrorMessage="1" error="الرجاء ادخال نص وحدة القياس" sqref="AD7:AD22 AD41:AD54 AD65:AD120 U65:U120 L65:L120 L132:L135 U132:U135 AD132:AD135 U146:U148 AD146:AD148 L146:L148" xr:uid="{0CC183B4-224A-4CAC-8D68-AA4014DA1A09}">
      <formula1>500</formula1>
    </dataValidation>
    <dataValidation type="decimal" allowBlank="1" showInputMessage="1" showErrorMessage="1" error="الرجاء ادخال الكمية رقم صحيح باللغة الانجليزية 0123456789" sqref="AC7:AC22 T7:T22 AC41:AC54 T41:T54 T124 T65:T120 AC65:AC120 AC124 T132:T135 AC132:AC135 AC146:AC148 T146:T148 K146:K148" xr:uid="{9B7E0E76-1DFD-44A1-B864-B275B566EE96}">
      <formula1>0</formula1>
      <formula2>1000000000</formula2>
    </dataValidation>
    <dataValidation type="decimal" allowBlank="1" showInputMessage="1" showErrorMessage="1" error="الرجاء ادخال سعر الوحدة (الريال) رقم صحيح او كسر اكبر من صفر وبحد اقصي أربع ارقام بعد العلامه العشرية باللغة الانجليزية 0123456789" sqref="AA132:AA135 AA146:AA148 R146:R148 I146:I148" xr:uid="{3F952A2E-A926-491D-94A6-0921EDDEA91B}">
      <formula1>0</formula1>
      <formula2>1000000000</formula2>
    </dataValidation>
  </dataValidations>
  <pageMargins left="0.7" right="0.7" top="0.75" bottom="0.75" header="0.3" footer="0.3"/>
  <pageSetup paperSize="9" fitToWidth="0" fitToHeight="0" orientation="portrait" horizontalDpi="300" verticalDpi="300" r:id="rId1"/>
  <rowBreaks count="1" manualBreakCount="1">
    <brk id="7" min="22" max="32" man="1"/>
  </rowBreaks>
  <colBreaks count="1" manualBreakCount="1">
    <brk id="28" max="1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CE70-D8A9-4299-A3E5-0D66E410C376}">
  <dimension ref="A1"/>
  <sheetViews>
    <sheetView rightToLeft="1" topLeftCell="A13" workbookViewId="0">
      <selection sqref="A1:XFD104857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زيوت المحركات </vt:lpstr>
      <vt:lpstr>ورقة1</vt:lpstr>
      <vt:lpstr>'زيوت المحركات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nawaf albishri</cp:lastModifiedBy>
  <dcterms:created xsi:type="dcterms:W3CDTF">2023-10-04T18:34:21Z</dcterms:created>
  <dcterms:modified xsi:type="dcterms:W3CDTF">2026-03-08T22:50:00Z</dcterms:modified>
</cp:coreProperties>
</file>