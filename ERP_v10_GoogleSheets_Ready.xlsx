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إدخال فاتورة" sheetId="2" state="visible" r:id="rId2"/>
    <sheet xmlns:r="http://schemas.openxmlformats.org/officeDocument/2006/relationships" name="المبيعات" sheetId="3" state="visible" r:id="rId3"/>
    <sheet xmlns:r="http://schemas.openxmlformats.org/officeDocument/2006/relationships" name="العملاء" sheetId="4" state="visible" r:id="rId4"/>
    <sheet xmlns:r="http://schemas.openxmlformats.org/officeDocument/2006/relationships" name="المشاريع" sheetId="5" state="visible" r:id="rId5"/>
    <sheet xmlns:r="http://schemas.openxmlformats.org/officeDocument/2006/relationships" name="المصروفات" sheetId="6" state="visible" r:id="rId6"/>
    <sheet xmlns:r="http://schemas.openxmlformats.org/officeDocument/2006/relationships" name="التقارير" sheetId="7" state="visible" r:id="rId7"/>
    <sheet xmlns:r="http://schemas.openxmlformats.org/officeDocument/2006/relationships" name="البحث" sheetId="8" state="visible" r:id="rId8"/>
    <sheet xmlns:r="http://schemas.openxmlformats.org/officeDocument/2006/relationships" name="الإعدادات" sheetId="9" state="visible" r:id="rId9"/>
    <sheet xmlns:r="http://schemas.openxmlformats.org/officeDocument/2006/relationships" name="أرشيف PDF" sheetId="10" state="visible" r:id="rId10"/>
    <sheet xmlns:r="http://schemas.openxmlformats.org/officeDocument/2006/relationships" name="تعليمات" sheetId="11" state="visible" r:id="rId11"/>
    <sheet xmlns:r="http://schemas.openxmlformats.org/officeDocument/2006/relationships" name="قوائم" sheetId="12" state="visible" r:id="rId12"/>
    <sheet xmlns:r="http://schemas.openxmlformats.org/officeDocument/2006/relationships" name="مساعد الداش" sheetId="13" state="hidden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  <color rgb="000F172A"/>
      <sz val="18"/>
    </font>
    <font>
      <b val="1"/>
      <color rgb="000F172A"/>
    </font>
    <font>
      <color rgb="0064748B"/>
      <sz val="10"/>
    </font>
    <font>
      <b val="1"/>
      <color rgb="0064748B"/>
      <sz val="10"/>
    </font>
    <font>
      <b val="1"/>
      <color rgb="000F172A"/>
      <sz val="16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D4ED8"/>
      </patternFill>
    </fill>
    <fill>
      <patternFill patternType="solid">
        <fgColor rgb="00FFF7CC"/>
      </patternFill>
    </fill>
    <fill>
      <patternFill patternType="solid">
        <fgColor rgb="00E2E8F0"/>
      </patternFill>
    </fill>
    <fill>
      <patternFill patternType="solid">
        <fgColor rgb="00FFFFFF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" fillId="2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4" fillId="0" borderId="0" pivotButton="0" quotePrefix="0" xfId="0"/>
    <xf numFmtId="0" fontId="4" fillId="5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4" fillId="6" borderId="1" pivotButton="0" quotePrefix="0" xfId="0"/>
    <xf numFmtId="0" fontId="0" fillId="4" borderId="1" pivotButton="0" quotePrefix="0" xfId="0"/>
    <xf numFmtId="4" fontId="0" fillId="4" borderId="1" pivotButton="0" quotePrefix="0" xfId="0"/>
    <xf numFmtId="4" fontId="0" fillId="6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المبيعات الشهرية</a:t>
            </a:r>
          </a:p>
        </rich>
      </tx>
    </title>
    <plotArea>
      <lineChart>
        <grouping val="standard"/>
        <ser>
          <idx val="0"/>
          <order val="0"/>
          <tx>
            <strRef>
              <f>'مساعد الداش'!E1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'مساعد الداش'!$D$2:$D$7</f>
            </numRef>
          </cat>
          <val>
            <numRef>
              <f>'مساعد الداش'!$E$2:$E$7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أفضل العملاء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'مساعد الداش'!L1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'مساعد الداش'!$K$2:$K$4</f>
            </numRef>
          </cat>
          <val>
            <numRef>
              <f>'مساعد الداش'!$L$2:$L$4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31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31</row>
      <rowOff>0</rowOff>
    </from>
    <ext cx="28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29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B1" s="1" t="inlineStr">
        <is>
          <t>ERP</t>
        </is>
      </c>
    </row>
    <row r="2">
      <c r="D2" s="2" t="inlineStr">
        <is>
          <t>لوحة التحكم</t>
        </is>
      </c>
    </row>
    <row r="3">
      <c r="D3" s="3" t="inlineStr">
        <is>
          <t>النسخة النهائية v10 - ملف جاهز مع حزمة Apps Script</t>
        </is>
      </c>
    </row>
    <row r="4">
      <c r="B4" s="4" t="inlineStr">
        <is>
          <t>Dashboard</t>
        </is>
      </c>
    </row>
    <row r="5">
      <c r="D5" s="5" t="inlineStr">
        <is>
          <t>إجمالي المبيعات</t>
        </is>
      </c>
      <c r="E5" s="6" t="n"/>
      <c r="F5" s="6" t="n"/>
      <c r="H5" s="5" t="inlineStr">
        <is>
          <t>إجمالي المصروفات</t>
        </is>
      </c>
      <c r="I5" s="6" t="n"/>
      <c r="J5" s="6" t="n"/>
      <c r="L5" s="5" t="inlineStr">
        <is>
          <t>صافي الربح</t>
        </is>
      </c>
      <c r="M5" s="6" t="n"/>
      <c r="N5" s="6" t="n"/>
    </row>
    <row r="6">
      <c r="D6" s="6" t="n"/>
      <c r="E6" s="6" t="n"/>
      <c r="F6" s="6" t="n"/>
      <c r="H6" s="6" t="n"/>
      <c r="I6" s="6" t="n"/>
      <c r="J6" s="6" t="n"/>
      <c r="L6" s="6" t="n"/>
      <c r="M6" s="6" t="n"/>
      <c r="N6" s="6" t="n"/>
    </row>
    <row r="7">
      <c r="B7" s="7" t="inlineStr">
        <is>
          <t>إدخال فاتورة</t>
        </is>
      </c>
      <c r="D7" s="8">
        <f>'مساعد الداش'!B2</f>
        <v/>
      </c>
      <c r="E7" s="6" t="n"/>
      <c r="F7" s="6" t="n"/>
      <c r="H7" s="8">
        <f>'مساعد الداش'!B3</f>
        <v/>
      </c>
      <c r="I7" s="6" t="n"/>
      <c r="J7" s="6" t="n"/>
      <c r="L7" s="8">
        <f>'مساعد الداش'!B4</f>
        <v/>
      </c>
      <c r="M7" s="6" t="n"/>
      <c r="N7" s="6" t="n"/>
    </row>
    <row r="8">
      <c r="D8" s="6" t="n"/>
      <c r="E8" s="6" t="n"/>
      <c r="F8" s="6" t="n"/>
      <c r="H8" s="6" t="n"/>
      <c r="I8" s="6" t="n"/>
      <c r="J8" s="6" t="n"/>
      <c r="L8" s="6" t="n"/>
      <c r="M8" s="6" t="n"/>
      <c r="N8" s="6" t="n"/>
    </row>
    <row r="10">
      <c r="B10" s="7" t="inlineStr">
        <is>
          <t>المبيعات</t>
        </is>
      </c>
      <c r="D10" s="5" t="inlineStr">
        <is>
          <t>عدد الفواتير</t>
        </is>
      </c>
      <c r="E10" s="6" t="n"/>
      <c r="F10" s="6" t="n"/>
      <c r="H10" s="5" t="inlineStr">
        <is>
          <t>عدد العملاء</t>
        </is>
      </c>
      <c r="I10" s="6" t="n"/>
      <c r="J10" s="6" t="n"/>
      <c r="L10" s="5" t="inlineStr">
        <is>
          <t>فواتير غير مدفوعة</t>
        </is>
      </c>
      <c r="M10" s="6" t="n"/>
      <c r="N10" s="6" t="n"/>
    </row>
    <row r="11">
      <c r="D11" s="6" t="n"/>
      <c r="E11" s="6" t="n"/>
      <c r="F11" s="6" t="n"/>
      <c r="H11" s="6" t="n"/>
      <c r="I11" s="6" t="n"/>
      <c r="J11" s="6" t="n"/>
      <c r="L11" s="6" t="n"/>
      <c r="M11" s="6" t="n"/>
      <c r="N11" s="6" t="n"/>
    </row>
    <row r="12">
      <c r="D12" s="8">
        <f>'مساعد الداش'!B5</f>
        <v/>
      </c>
      <c r="E12" s="6" t="n"/>
      <c r="F12" s="6" t="n"/>
      <c r="H12" s="8">
        <f>'مساعد الداش'!B6</f>
        <v/>
      </c>
      <c r="I12" s="6" t="n"/>
      <c r="J12" s="6" t="n"/>
      <c r="L12" s="8">
        <f>'مساعد الداش'!B7</f>
        <v/>
      </c>
      <c r="M12" s="6" t="n"/>
      <c r="N12" s="6" t="n"/>
    </row>
    <row r="13">
      <c r="B13" s="7" t="inlineStr">
        <is>
          <t>العملاء</t>
        </is>
      </c>
      <c r="D13" s="6" t="n"/>
      <c r="E13" s="6" t="n"/>
      <c r="F13" s="6" t="n"/>
      <c r="H13" s="6" t="n"/>
      <c r="I13" s="6" t="n"/>
      <c r="J13" s="6" t="n"/>
      <c r="L13" s="6" t="n"/>
      <c r="M13" s="6" t="n"/>
      <c r="N13" s="6" t="n"/>
    </row>
    <row r="14"/>
    <row r="16">
      <c r="B16" s="7" t="inlineStr">
        <is>
          <t>المشاريع</t>
        </is>
      </c>
      <c r="D16" s="9" t="inlineStr">
        <is>
          <t>إدخال فاتورة</t>
        </is>
      </c>
      <c r="E16" s="10" t="n"/>
      <c r="F16" s="10" t="n"/>
      <c r="H16" s="9" t="inlineStr">
        <is>
          <t>المبيعات</t>
        </is>
      </c>
      <c r="I16" s="10" t="n"/>
      <c r="J16" s="10" t="n"/>
      <c r="L16" s="9" t="inlineStr">
        <is>
          <t>التقارير</t>
        </is>
      </c>
      <c r="M16" s="10" t="n"/>
      <c r="N16" s="10" t="n"/>
    </row>
    <row r="17">
      <c r="D17" s="10" t="n"/>
      <c r="E17" s="10" t="n"/>
      <c r="F17" s="10" t="n"/>
      <c r="H17" s="10" t="n"/>
      <c r="I17" s="10" t="n"/>
      <c r="J17" s="10" t="n"/>
      <c r="L17" s="10" t="n"/>
      <c r="M17" s="10" t="n"/>
      <c r="N17" s="10" t="n"/>
    </row>
    <row r="18">
      <c r="D18" s="10" t="n"/>
      <c r="E18" s="10" t="n"/>
      <c r="F18" s="10" t="n"/>
      <c r="H18" s="10" t="n"/>
      <c r="I18" s="10" t="n"/>
      <c r="J18" s="10" t="n"/>
      <c r="L18" s="10" t="n"/>
      <c r="M18" s="10" t="n"/>
      <c r="N18" s="10" t="n"/>
    </row>
    <row r="19">
      <c r="B19" s="7" t="inlineStr">
        <is>
          <t>المصروفات</t>
        </is>
      </c>
    </row>
    <row r="20"/>
    <row r="22">
      <c r="B22" s="7" t="inlineStr">
        <is>
          <t>التقارير</t>
        </is>
      </c>
      <c r="D22" s="11" t="inlineStr">
        <is>
          <t>أفضل العملاء</t>
        </is>
      </c>
      <c r="H22" s="11" t="inlineStr">
        <is>
          <t>ملخص شهري</t>
        </is>
      </c>
    </row>
    <row r="23">
      <c r="D23" s="12" t="inlineStr">
        <is>
          <t>العميل</t>
        </is>
      </c>
      <c r="E23" s="12" t="inlineStr">
        <is>
          <t>الإجمالي</t>
        </is>
      </c>
      <c r="H23" s="12" t="inlineStr">
        <is>
          <t>الشهر</t>
        </is>
      </c>
      <c r="I23" s="12" t="inlineStr">
        <is>
          <t>المبيعات</t>
        </is>
      </c>
      <c r="J23" s="12" t="inlineStr">
        <is>
          <t>المصروفات</t>
        </is>
      </c>
    </row>
    <row r="24">
      <c r="D24" s="13">
        <f>'مساعد الداش'!K2</f>
        <v/>
      </c>
      <c r="E24" s="14">
        <f>'مساعد الداش'!L2</f>
        <v/>
      </c>
      <c r="H24" s="13">
        <f>'مساعد الداش'!D2</f>
        <v/>
      </c>
      <c r="I24" s="14">
        <f>'مساعد الداش'!E2</f>
        <v/>
      </c>
      <c r="J24" s="14">
        <f>'مساعد الداش'!F2</f>
        <v/>
      </c>
    </row>
    <row r="25">
      <c r="B25" s="7" t="inlineStr">
        <is>
          <t>البحث</t>
        </is>
      </c>
      <c r="D25" s="13">
        <f>'مساعد الداش'!K3</f>
        <v/>
      </c>
      <c r="E25" s="14">
        <f>'مساعد الداش'!L3</f>
        <v/>
      </c>
      <c r="H25" s="13">
        <f>'مساعد الداش'!D3</f>
        <v/>
      </c>
      <c r="I25" s="14">
        <f>'مساعد الداش'!E3</f>
        <v/>
      </c>
      <c r="J25" s="14">
        <f>'مساعد الداش'!F3</f>
        <v/>
      </c>
    </row>
    <row r="26">
      <c r="D26" s="13">
        <f>'مساعد الداش'!K4</f>
        <v/>
      </c>
      <c r="E26" s="14">
        <f>'مساعد الداش'!L4</f>
        <v/>
      </c>
      <c r="H26" s="13">
        <f>'مساعد الداش'!D4</f>
        <v/>
      </c>
      <c r="I26" s="14">
        <f>'مساعد الداش'!E4</f>
        <v/>
      </c>
      <c r="J26" s="14">
        <f>'مساعد الداش'!F4</f>
        <v/>
      </c>
    </row>
    <row r="27">
      <c r="H27" s="13">
        <f>'مساعد الداش'!D5</f>
        <v/>
      </c>
      <c r="I27" s="14">
        <f>'مساعد الداش'!E5</f>
        <v/>
      </c>
      <c r="J27" s="14">
        <f>'مساعد الداش'!F5</f>
        <v/>
      </c>
    </row>
    <row r="28">
      <c r="B28" s="7" t="inlineStr">
        <is>
          <t>الإعدادات</t>
        </is>
      </c>
      <c r="H28" s="13">
        <f>'مساعد الداش'!D6</f>
        <v/>
      </c>
      <c r="I28" s="14">
        <f>'مساعد الداش'!E6</f>
        <v/>
      </c>
      <c r="J28" s="14">
        <f>'مساعد الداش'!F6</f>
        <v/>
      </c>
    </row>
    <row r="29">
      <c r="H29" s="13">
        <f>'مساعد الداش'!D7</f>
        <v/>
      </c>
      <c r="I29" s="14">
        <f>'مساعد الداش'!E7</f>
        <v/>
      </c>
      <c r="J29" s="14">
        <f>'مساعد الداش'!F7</f>
        <v/>
      </c>
    </row>
  </sheetData>
  <mergeCells count="25">
    <mergeCell ref="D5:F6"/>
    <mergeCell ref="H5:J6"/>
    <mergeCell ref="D10:F11"/>
    <mergeCell ref="D16:F18"/>
    <mergeCell ref="L7:N8"/>
    <mergeCell ref="H10:J11"/>
    <mergeCell ref="B13:B14"/>
    <mergeCell ref="B1:B2"/>
    <mergeCell ref="B10:B11"/>
    <mergeCell ref="B28:B29"/>
    <mergeCell ref="L12:N13"/>
    <mergeCell ref="H16:J18"/>
    <mergeCell ref="B19:B20"/>
    <mergeCell ref="L5:N6"/>
    <mergeCell ref="D7:F8"/>
    <mergeCell ref="H7:J8"/>
    <mergeCell ref="D12:F13"/>
    <mergeCell ref="B4:B5"/>
    <mergeCell ref="L10:N11"/>
    <mergeCell ref="B22:B23"/>
    <mergeCell ref="B7:B8"/>
    <mergeCell ref="B25:B26"/>
    <mergeCell ref="B16:B17"/>
    <mergeCell ref="H12:J13"/>
    <mergeCell ref="L16:N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Q29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B1" s="1" t="inlineStr">
        <is>
          <t>ERP</t>
        </is>
      </c>
    </row>
    <row r="2">
      <c r="D2" s="2" t="inlineStr">
        <is>
          <t>إدخال فاتورة</t>
        </is>
      </c>
    </row>
    <row r="3">
      <c r="D3" s="3" t="inlineStr">
        <is>
          <t>جاهز للعمل مع السكربت النهائي. الخلايا الصفراء للإدخال فقط.</t>
        </is>
      </c>
    </row>
    <row r="4">
      <c r="B4" s="7" t="inlineStr">
        <is>
          <t>Dashboard</t>
        </is>
      </c>
    </row>
    <row r="5">
      <c r="D5" s="15" t="inlineStr">
        <is>
          <t>التاريخ</t>
        </is>
      </c>
      <c r="E5" s="16">
        <f>TODAY()</f>
        <v/>
      </c>
    </row>
    <row r="6">
      <c r="D6" s="15" t="inlineStr">
        <is>
          <t>الشهر</t>
        </is>
      </c>
      <c r="E6" s="16">
        <f>TEXT(E5,"yyyy-mm")</f>
        <v/>
      </c>
    </row>
    <row r="7">
      <c r="B7" s="4" t="inlineStr">
        <is>
          <t>إدخال فاتورة</t>
        </is>
      </c>
      <c r="D7" s="15" t="inlineStr">
        <is>
          <t>العميل</t>
        </is>
      </c>
      <c r="E7" s="16" t="inlineStr"/>
    </row>
    <row r="8">
      <c r="D8" s="15" t="inlineStr">
        <is>
          <t>المشروع</t>
        </is>
      </c>
      <c r="E8" s="16" t="inlineStr"/>
    </row>
    <row r="9">
      <c r="D9" s="15" t="inlineStr">
        <is>
          <t>الوصف</t>
        </is>
      </c>
      <c r="E9" s="16" t="inlineStr"/>
    </row>
    <row r="10">
      <c r="B10" s="7" t="inlineStr">
        <is>
          <t>المبيعات</t>
        </is>
      </c>
      <c r="D10" s="15" t="inlineStr">
        <is>
          <t>الكمية</t>
        </is>
      </c>
      <c r="E10" s="17" t="n">
        <v>1</v>
      </c>
    </row>
    <row r="11">
      <c r="D11" s="15" t="inlineStr">
        <is>
          <t>السعر</t>
        </is>
      </c>
      <c r="E11" s="17" t="n">
        <v>0</v>
      </c>
    </row>
    <row r="12">
      <c r="D12" s="15" t="inlineStr">
        <is>
          <t>قبل الضريبة</t>
        </is>
      </c>
      <c r="E12" s="18">
        <f>IFERROR(E10*E11,0)</f>
        <v/>
      </c>
    </row>
    <row r="13">
      <c r="B13" s="7" t="inlineStr">
        <is>
          <t>العملاء</t>
        </is>
      </c>
      <c r="D13" s="15" t="inlineStr">
        <is>
          <t>الضريبة</t>
        </is>
      </c>
      <c r="E13" s="18">
        <f>IFERROR(E12*الإعدادات!$E$5,0)</f>
        <v/>
      </c>
    </row>
    <row r="14">
      <c r="D14" s="15" t="inlineStr">
        <is>
          <t>الإجمالي</t>
        </is>
      </c>
      <c r="E14" s="18">
        <f>IFERROR(E12+E13,0)</f>
        <v/>
      </c>
    </row>
    <row r="15">
      <c r="D15" s="15" t="inlineStr">
        <is>
          <t>الحالة</t>
        </is>
      </c>
      <c r="E15" s="16" t="inlineStr">
        <is>
          <t>غير مدفوع</t>
        </is>
      </c>
    </row>
    <row r="16">
      <c r="B16" s="7" t="inlineStr">
        <is>
          <t>المشاريع</t>
        </is>
      </c>
      <c r="D16" s="15" t="inlineStr">
        <is>
          <t>المستخدم</t>
        </is>
      </c>
      <c r="E16" s="16" t="inlineStr">
        <is>
          <t>admin</t>
        </is>
      </c>
    </row>
    <row r="17"/>
    <row r="18">
      <c r="D18" s="15" t="inlineStr">
        <is>
          <t>رقم الفاتورة التالي</t>
        </is>
      </c>
      <c r="E18" s="13">
        <f>CONCAT("INV-",TEXT(الإعدادات!E7+1,"00000"))</f>
        <v/>
      </c>
    </row>
    <row r="19">
      <c r="B19" s="7" t="inlineStr">
        <is>
          <t>المصروفات</t>
        </is>
      </c>
    </row>
    <row r="20"/>
    <row r="22">
      <c r="B22" s="7" t="inlineStr">
        <is>
          <t>التقارير</t>
        </is>
      </c>
      <c r="D22" s="12" t="inlineStr">
        <is>
          <t>رقم الفاتورة</t>
        </is>
      </c>
      <c r="E22" s="12" t="inlineStr">
        <is>
          <t>التاريخ</t>
        </is>
      </c>
      <c r="F22" s="12" t="inlineStr">
        <is>
          <t>الشهر</t>
        </is>
      </c>
      <c r="G22" s="12" t="inlineStr">
        <is>
          <t>العميل</t>
        </is>
      </c>
      <c r="H22" s="12" t="inlineStr">
        <is>
          <t>المشروع</t>
        </is>
      </c>
      <c r="I22" s="12" t="inlineStr">
        <is>
          <t>الوصف</t>
        </is>
      </c>
      <c r="J22" s="12" t="inlineStr">
        <is>
          <t>الكمية</t>
        </is>
      </c>
      <c r="K22" s="12" t="inlineStr">
        <is>
          <t>السعر</t>
        </is>
      </c>
      <c r="L22" s="12" t="inlineStr">
        <is>
          <t>قبل الضريبة</t>
        </is>
      </c>
      <c r="M22" s="12" t="inlineStr">
        <is>
          <t>الضريبة</t>
        </is>
      </c>
      <c r="N22" s="12" t="inlineStr">
        <is>
          <t>الإجمالي</t>
        </is>
      </c>
      <c r="O22" s="12" t="inlineStr">
        <is>
          <t>الحالة</t>
        </is>
      </c>
      <c r="P22" s="12" t="inlineStr">
        <is>
          <t>المستخدم</t>
        </is>
      </c>
      <c r="Q22" s="12" t="inlineStr">
        <is>
          <t>رابط PDF</t>
        </is>
      </c>
    </row>
    <row r="23">
      <c r="D23" s="13">
        <f>E18</f>
        <v/>
      </c>
      <c r="E23" s="13">
        <f>E5</f>
        <v/>
      </c>
      <c r="F23" s="13">
        <f>E6</f>
        <v/>
      </c>
      <c r="G23" s="13">
        <f>E7</f>
        <v/>
      </c>
      <c r="H23" s="13">
        <f>E8</f>
        <v/>
      </c>
      <c r="I23" s="13">
        <f>E9</f>
        <v/>
      </c>
      <c r="J23" s="13">
        <f>E10</f>
        <v/>
      </c>
      <c r="K23" s="13">
        <f>E11</f>
        <v/>
      </c>
      <c r="L23" s="13">
        <f>E12</f>
        <v/>
      </c>
      <c r="M23" s="13">
        <f>E13</f>
        <v/>
      </c>
      <c r="N23" s="13">
        <f>E14</f>
        <v/>
      </c>
      <c r="O23" s="13">
        <f>E15</f>
        <v/>
      </c>
      <c r="P23" s="13">
        <f>E16</f>
        <v/>
      </c>
      <c r="Q23" s="13">
        <f>""</f>
        <v/>
      </c>
    </row>
    <row r="25">
      <c r="B25" s="7" t="inlineStr">
        <is>
          <t>البحث</t>
        </is>
      </c>
    </row>
    <row r="26"/>
    <row r="28">
      <c r="B28" s="7" t="inlineStr">
        <is>
          <t>الإعدادات</t>
        </is>
      </c>
    </row>
    <row r="29"/>
  </sheetData>
  <mergeCells count="10">
    <mergeCell ref="B4:B5"/>
    <mergeCell ref="B13:B14"/>
    <mergeCell ref="B22:B23"/>
    <mergeCell ref="B7:B8"/>
    <mergeCell ref="B25:B26"/>
    <mergeCell ref="B1:B2"/>
    <mergeCell ref="B16:B17"/>
    <mergeCell ref="B10:B11"/>
    <mergeCell ref="B28:B29"/>
    <mergeCell ref="B19:B20"/>
  </mergeCells>
  <dataValidations count="4">
    <dataValidation sqref="E7" showDropDown="0" showInputMessage="0" showErrorMessage="0" allowBlank="1" type="list">
      <formula1>'العملاء'!$B$5:$B$50</formula1>
    </dataValidation>
    <dataValidation sqref="E8" showDropDown="0" showInputMessage="0" showErrorMessage="0" allowBlank="1" type="list">
      <formula1>'المشاريع'!$B$5:$B$50</formula1>
    </dataValidation>
    <dataValidation sqref="E15" showDropDown="0" showInputMessage="0" showErrorMessage="0" allowBlank="1" type="list">
      <formula1>"مدفوع,غير مدفوع,ملغي"</formula1>
    </dataValidation>
    <dataValidation sqref="E16" showDropDown="0" showInputMessage="0" showErrorMessage="0" allowBlank="1" type="list">
      <formula1>"admin,sales,account"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N9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2">
      <c r="A2" s="2" t="inlineStr">
        <is>
          <t>المبيعات</t>
        </is>
      </c>
    </row>
    <row r="4">
      <c r="A4" s="12" t="inlineStr">
        <is>
          <t>رقم الفاتورة</t>
        </is>
      </c>
      <c r="B4" s="12" t="inlineStr">
        <is>
          <t>التاريخ</t>
        </is>
      </c>
      <c r="C4" s="12" t="inlineStr">
        <is>
          <t>الشهر</t>
        </is>
      </c>
      <c r="D4" s="12" t="inlineStr">
        <is>
          <t>العميل</t>
        </is>
      </c>
      <c r="E4" s="12" t="inlineStr">
        <is>
          <t>المشروع</t>
        </is>
      </c>
      <c r="F4" s="12" t="inlineStr">
        <is>
          <t>الوصف</t>
        </is>
      </c>
      <c r="G4" s="12" t="inlineStr">
        <is>
          <t>الكمية</t>
        </is>
      </c>
      <c r="H4" s="12" t="inlineStr">
        <is>
          <t>السعر</t>
        </is>
      </c>
      <c r="I4" s="12" t="inlineStr">
        <is>
          <t>قبل الضريبة</t>
        </is>
      </c>
      <c r="J4" s="12" t="inlineStr">
        <is>
          <t>الضريبة</t>
        </is>
      </c>
      <c r="K4" s="12" t="inlineStr">
        <is>
          <t>الإجمالي النهائي</t>
        </is>
      </c>
      <c r="L4" s="12" t="inlineStr">
        <is>
          <t>الحالة</t>
        </is>
      </c>
      <c r="M4" s="12" t="inlineStr">
        <is>
          <t>المستخدم</t>
        </is>
      </c>
      <c r="N4" s="12" t="inlineStr">
        <is>
          <t>رابط PDF</t>
        </is>
      </c>
    </row>
    <row r="5">
      <c r="A5" s="13" t="inlineStr">
        <is>
          <t>INV-1001</t>
        </is>
      </c>
      <c r="B5" s="13" t="inlineStr">
        <is>
          <t>2026-01-12</t>
        </is>
      </c>
      <c r="C5" s="13" t="inlineStr">
        <is>
          <t>2026-01</t>
        </is>
      </c>
      <c r="D5" s="13" t="inlineStr">
        <is>
          <t>شركة المدار</t>
        </is>
      </c>
      <c r="E5" s="13" t="inlineStr">
        <is>
          <t>توريد قطع</t>
        </is>
      </c>
      <c r="F5" s="13" t="inlineStr">
        <is>
          <t>فاتورة توريد</t>
        </is>
      </c>
      <c r="G5" s="13" t="n">
        <v>3</v>
      </c>
      <c r="H5" s="14" t="n">
        <v>1500</v>
      </c>
      <c r="I5" s="14">
        <f>IFERROR(G5*H5,0)</f>
        <v/>
      </c>
      <c r="J5" s="14">
        <f>IFERROR(I5*الإعدادات!$E$5,0)</f>
        <v/>
      </c>
      <c r="K5" s="14">
        <f>IFERROR(I5+J5,0)</f>
        <v/>
      </c>
      <c r="L5" s="13" t="inlineStr">
        <is>
          <t>مدفوع</t>
        </is>
      </c>
      <c r="M5" s="13" t="inlineStr">
        <is>
          <t>admin</t>
        </is>
      </c>
      <c r="N5" s="13" t="inlineStr"/>
    </row>
    <row r="6">
      <c r="A6" s="13" t="inlineStr">
        <is>
          <t>INV-1002</t>
        </is>
      </c>
      <c r="B6" s="13" t="inlineStr">
        <is>
          <t>2026-01-29</t>
        </is>
      </c>
      <c r="C6" s="13" t="inlineStr">
        <is>
          <t>2026-01</t>
        </is>
      </c>
      <c r="D6" s="13" t="inlineStr">
        <is>
          <t>مؤسسة النور</t>
        </is>
      </c>
      <c r="E6" s="13" t="inlineStr">
        <is>
          <t>خدمة صيانة</t>
        </is>
      </c>
      <c r="F6" s="13" t="inlineStr">
        <is>
          <t>خدمة شهرية</t>
        </is>
      </c>
      <c r="G6" s="13" t="n">
        <v>2</v>
      </c>
      <c r="H6" s="14" t="n">
        <v>1250</v>
      </c>
      <c r="I6" s="14">
        <f>IFERROR(G6*H6,0)</f>
        <v/>
      </c>
      <c r="J6" s="14">
        <f>IFERROR(I6*الإعدادات!$E$5,0)</f>
        <v/>
      </c>
      <c r="K6" s="14">
        <f>IFERROR(I6+J6,0)</f>
        <v/>
      </c>
      <c r="L6" s="13" t="inlineStr">
        <is>
          <t>غير مدفوع</t>
        </is>
      </c>
      <c r="M6" s="13" t="inlineStr">
        <is>
          <t>admin</t>
        </is>
      </c>
      <c r="N6" s="13" t="inlineStr"/>
    </row>
    <row r="7">
      <c r="A7" s="13" t="inlineStr">
        <is>
          <t>INV-1003</t>
        </is>
      </c>
      <c r="B7" s="13" t="inlineStr">
        <is>
          <t>2026-02-08</t>
        </is>
      </c>
      <c r="C7" s="13" t="inlineStr">
        <is>
          <t>2026-02</t>
        </is>
      </c>
      <c r="D7" s="13" t="inlineStr">
        <is>
          <t>شركة السرعة</t>
        </is>
      </c>
      <c r="E7" s="13" t="inlineStr">
        <is>
          <t>عقد نقل</t>
        </is>
      </c>
      <c r="F7" s="13" t="inlineStr">
        <is>
          <t>دفعة أولى</t>
        </is>
      </c>
      <c r="G7" s="13" t="n">
        <v>4</v>
      </c>
      <c r="H7" s="14" t="n">
        <v>1800</v>
      </c>
      <c r="I7" s="14">
        <f>IFERROR(G7*H7,0)</f>
        <v/>
      </c>
      <c r="J7" s="14">
        <f>IFERROR(I7*الإعدادات!$E$5,0)</f>
        <v/>
      </c>
      <c r="K7" s="14">
        <f>IFERROR(I7+J7,0)</f>
        <v/>
      </c>
      <c r="L7" s="13" t="inlineStr">
        <is>
          <t>مدفوع</t>
        </is>
      </c>
      <c r="M7" s="13" t="inlineStr">
        <is>
          <t>sales</t>
        </is>
      </c>
      <c r="N7" s="13" t="inlineStr"/>
    </row>
    <row r="8">
      <c r="A8" s="13" t="inlineStr">
        <is>
          <t>INV-1004</t>
        </is>
      </c>
      <c r="B8" s="13" t="inlineStr">
        <is>
          <t>2026-02-19</t>
        </is>
      </c>
      <c r="C8" s="13" t="inlineStr">
        <is>
          <t>2026-02</t>
        </is>
      </c>
      <c r="D8" s="13" t="inlineStr">
        <is>
          <t>شركة المدار</t>
        </is>
      </c>
      <c r="E8" s="13" t="inlineStr">
        <is>
          <t>توريد قطع</t>
        </is>
      </c>
      <c r="F8" s="13" t="inlineStr">
        <is>
          <t>فاتورة توريد</t>
        </is>
      </c>
      <c r="G8" s="13" t="n">
        <v>1</v>
      </c>
      <c r="H8" s="14" t="n">
        <v>2200</v>
      </c>
      <c r="I8" s="14">
        <f>IFERROR(G8*H8,0)</f>
        <v/>
      </c>
      <c r="J8" s="14">
        <f>IFERROR(I8*الإعدادات!$E$5,0)</f>
        <v/>
      </c>
      <c r="K8" s="14">
        <f>IFERROR(I8+J8,0)</f>
        <v/>
      </c>
      <c r="L8" s="13" t="inlineStr">
        <is>
          <t>ملغي</t>
        </is>
      </c>
      <c r="M8" s="13" t="inlineStr">
        <is>
          <t>sales</t>
        </is>
      </c>
      <c r="N8" s="13" t="inlineStr"/>
    </row>
    <row r="9">
      <c r="A9" s="13" t="inlineStr">
        <is>
          <t>INV-1005</t>
        </is>
      </c>
      <c r="B9" s="13" t="inlineStr">
        <is>
          <t>2026-03-02</t>
        </is>
      </c>
      <c r="C9" s="13" t="inlineStr">
        <is>
          <t>2026-03</t>
        </is>
      </c>
      <c r="D9" s="13" t="inlineStr">
        <is>
          <t>مؤسسة النور</t>
        </is>
      </c>
      <c r="E9" s="13" t="inlineStr">
        <is>
          <t>خدمة صيانة</t>
        </is>
      </c>
      <c r="F9" s="13" t="inlineStr">
        <is>
          <t>خدمة إضافية</t>
        </is>
      </c>
      <c r="G9" s="13" t="n">
        <v>5</v>
      </c>
      <c r="H9" s="14" t="n">
        <v>990</v>
      </c>
      <c r="I9" s="14">
        <f>IFERROR(G9*H9,0)</f>
        <v/>
      </c>
      <c r="J9" s="14">
        <f>IFERROR(I9*الإعدادات!$E$5,0)</f>
        <v/>
      </c>
      <c r="K9" s="14">
        <f>IFERROR(I9+J9,0)</f>
        <v/>
      </c>
      <c r="L9" s="13" t="inlineStr">
        <is>
          <t>مدفوع</t>
        </is>
      </c>
      <c r="M9" s="13" t="inlineStr">
        <is>
          <t>account</t>
        </is>
      </c>
      <c r="N9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7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2">
      <c r="A2" s="2" t="inlineStr">
        <is>
          <t>العملاء</t>
        </is>
      </c>
    </row>
    <row r="4">
      <c r="A4" s="12" t="inlineStr">
        <is>
          <t>رقم العميل</t>
        </is>
      </c>
      <c r="B4" s="12" t="inlineStr">
        <is>
          <t>اسم العميل</t>
        </is>
      </c>
      <c r="C4" s="12" t="inlineStr">
        <is>
          <t>الهاتف</t>
        </is>
      </c>
      <c r="D4" s="12" t="inlineStr">
        <is>
          <t>البريد</t>
        </is>
      </c>
      <c r="E4" s="12" t="inlineStr">
        <is>
          <t>المدينة</t>
        </is>
      </c>
      <c r="F4" s="12" t="inlineStr">
        <is>
          <t>الحالة</t>
        </is>
      </c>
    </row>
    <row r="5">
      <c r="A5" s="13" t="inlineStr">
        <is>
          <t>C-001</t>
        </is>
      </c>
      <c r="B5" s="13" t="inlineStr">
        <is>
          <t>شركة المدار</t>
        </is>
      </c>
      <c r="C5" s="13" t="inlineStr">
        <is>
          <t>0500000001</t>
        </is>
      </c>
      <c r="D5" s="13" t="inlineStr">
        <is>
          <t>info@almadar.sa</t>
        </is>
      </c>
      <c r="E5" s="13" t="inlineStr">
        <is>
          <t>جدة</t>
        </is>
      </c>
      <c r="F5" s="13" t="inlineStr">
        <is>
          <t>نشط</t>
        </is>
      </c>
    </row>
    <row r="6">
      <c r="A6" s="13" t="inlineStr">
        <is>
          <t>C-002</t>
        </is>
      </c>
      <c r="B6" s="13" t="inlineStr">
        <is>
          <t>مؤسسة النور</t>
        </is>
      </c>
      <c r="C6" s="13" t="inlineStr">
        <is>
          <t>0500000002</t>
        </is>
      </c>
      <c r="D6" s="13" t="inlineStr">
        <is>
          <t>sales@alnoor.sa</t>
        </is>
      </c>
      <c r="E6" s="13" t="inlineStr">
        <is>
          <t>مكة</t>
        </is>
      </c>
      <c r="F6" s="13" t="inlineStr">
        <is>
          <t>نشط</t>
        </is>
      </c>
    </row>
    <row r="7">
      <c r="A7" s="13" t="inlineStr">
        <is>
          <t>C-003</t>
        </is>
      </c>
      <c r="B7" s="13" t="inlineStr">
        <is>
          <t>شركة السرعة</t>
        </is>
      </c>
      <c r="C7" s="13" t="inlineStr">
        <is>
          <t>0500000003</t>
        </is>
      </c>
      <c r="D7" s="13" t="inlineStr">
        <is>
          <t>ops@speed.sa</t>
        </is>
      </c>
      <c r="E7" s="13" t="inlineStr">
        <is>
          <t>الرياض</t>
        </is>
      </c>
      <c r="F7" s="13" t="inlineStr">
        <is>
          <t>نشط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7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2">
      <c r="A2" s="2" t="inlineStr">
        <is>
          <t>المشاريع</t>
        </is>
      </c>
    </row>
    <row r="4">
      <c r="A4" s="12" t="inlineStr">
        <is>
          <t>رقم المشروع</t>
        </is>
      </c>
      <c r="B4" s="12" t="inlineStr">
        <is>
          <t>اسم المشروع</t>
        </is>
      </c>
      <c r="C4" s="12" t="inlineStr">
        <is>
          <t>العميل</t>
        </is>
      </c>
      <c r="D4" s="12" t="inlineStr">
        <is>
          <t>الحالة</t>
        </is>
      </c>
      <c r="E4" s="12" t="inlineStr">
        <is>
          <t>قيمة المشروع</t>
        </is>
      </c>
      <c r="F4" s="12" t="inlineStr">
        <is>
          <t>تاريخ البدء</t>
        </is>
      </c>
    </row>
    <row r="5">
      <c r="A5" s="13" t="inlineStr">
        <is>
          <t>P-001</t>
        </is>
      </c>
      <c r="B5" s="13" t="inlineStr">
        <is>
          <t>توريد قطع</t>
        </is>
      </c>
      <c r="C5" s="13" t="inlineStr">
        <is>
          <t>شركة المدار</t>
        </is>
      </c>
      <c r="D5" s="13" t="inlineStr">
        <is>
          <t>مفتوح</t>
        </is>
      </c>
      <c r="E5" s="14" t="n">
        <v>12000</v>
      </c>
      <c r="F5" s="13" t="inlineStr">
        <is>
          <t>2026-01-10</t>
        </is>
      </c>
    </row>
    <row r="6">
      <c r="A6" s="13" t="inlineStr">
        <is>
          <t>P-002</t>
        </is>
      </c>
      <c r="B6" s="13" t="inlineStr">
        <is>
          <t>خدمة صيانة</t>
        </is>
      </c>
      <c r="C6" s="13" t="inlineStr">
        <is>
          <t>مؤسسة النور</t>
        </is>
      </c>
      <c r="D6" s="13" t="inlineStr">
        <is>
          <t>مفتوح</t>
        </is>
      </c>
      <c r="E6" s="14" t="n">
        <v>8500</v>
      </c>
      <c r="F6" s="13" t="inlineStr">
        <is>
          <t>2026-02-02</t>
        </is>
      </c>
    </row>
    <row r="7">
      <c r="A7" s="13" t="inlineStr">
        <is>
          <t>P-003</t>
        </is>
      </c>
      <c r="B7" s="13" t="inlineStr">
        <is>
          <t>عقد نقل</t>
        </is>
      </c>
      <c r="C7" s="13" t="inlineStr">
        <is>
          <t>شركة السرعة</t>
        </is>
      </c>
      <c r="D7" s="13" t="inlineStr">
        <is>
          <t>مغلق</t>
        </is>
      </c>
      <c r="E7" s="14" t="n">
        <v>15000</v>
      </c>
      <c r="F7" s="13" t="inlineStr">
        <is>
          <t>2026-02-20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8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2">
      <c r="A2" s="2" t="inlineStr">
        <is>
          <t>المصروفات</t>
        </is>
      </c>
    </row>
    <row r="4">
      <c r="A4" s="12" t="inlineStr">
        <is>
          <t>التاريخ</t>
        </is>
      </c>
      <c r="B4" s="12" t="inlineStr">
        <is>
          <t>الشهر</t>
        </is>
      </c>
      <c r="C4" s="12" t="inlineStr">
        <is>
          <t>الوصف</t>
        </is>
      </c>
      <c r="D4" s="12" t="inlineStr">
        <is>
          <t>الفئة</t>
        </is>
      </c>
      <c r="E4" s="12" t="inlineStr">
        <is>
          <t>القيمة</t>
        </is>
      </c>
      <c r="F4" s="12" t="inlineStr">
        <is>
          <t>المستخدم</t>
        </is>
      </c>
    </row>
    <row r="5">
      <c r="A5" s="13" t="inlineStr">
        <is>
          <t>2026-01-15</t>
        </is>
      </c>
      <c r="B5" s="13" t="inlineStr">
        <is>
          <t>2026-01</t>
        </is>
      </c>
      <c r="C5" s="13" t="inlineStr">
        <is>
          <t>وقود</t>
        </is>
      </c>
      <c r="D5" s="13" t="inlineStr">
        <is>
          <t>تشغيلي</t>
        </is>
      </c>
      <c r="E5" s="14" t="n">
        <v>350</v>
      </c>
      <c r="F5" s="13" t="inlineStr">
        <is>
          <t>admin</t>
        </is>
      </c>
    </row>
    <row r="6">
      <c r="A6" s="13" t="inlineStr">
        <is>
          <t>2026-01-28</t>
        </is>
      </c>
      <c r="B6" s="13" t="inlineStr">
        <is>
          <t>2026-01</t>
        </is>
      </c>
      <c r="C6" s="13" t="inlineStr">
        <is>
          <t>مستلزمات</t>
        </is>
      </c>
      <c r="D6" s="13" t="inlineStr">
        <is>
          <t>مكتبي</t>
        </is>
      </c>
      <c r="E6" s="14" t="n">
        <v>200</v>
      </c>
      <c r="F6" s="13" t="inlineStr">
        <is>
          <t>admin</t>
        </is>
      </c>
    </row>
    <row r="7">
      <c r="A7" s="13" t="inlineStr">
        <is>
          <t>2026-02-10</t>
        </is>
      </c>
      <c r="B7" s="13" t="inlineStr">
        <is>
          <t>2026-02</t>
        </is>
      </c>
      <c r="C7" s="13" t="inlineStr">
        <is>
          <t>صيانة</t>
        </is>
      </c>
      <c r="D7" s="13" t="inlineStr">
        <is>
          <t>تشغيلي</t>
        </is>
      </c>
      <c r="E7" s="14" t="n">
        <v>500</v>
      </c>
      <c r="F7" s="13" t="inlineStr">
        <is>
          <t>account</t>
        </is>
      </c>
    </row>
    <row r="8">
      <c r="A8" s="13" t="inlineStr">
        <is>
          <t>2026-03-01</t>
        </is>
      </c>
      <c r="B8" s="13" t="inlineStr">
        <is>
          <t>2026-03</t>
        </is>
      </c>
      <c r="C8" s="13" t="inlineStr">
        <is>
          <t>اتصالات</t>
        </is>
      </c>
      <c r="D8" s="13" t="inlineStr">
        <is>
          <t>إداري</t>
        </is>
      </c>
      <c r="E8" s="14" t="n">
        <v>300</v>
      </c>
      <c r="F8" s="13" t="inlineStr">
        <is>
          <t>account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29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B1" s="1" t="inlineStr">
        <is>
          <t>ERP</t>
        </is>
      </c>
    </row>
    <row r="2"/>
    <row r="4">
      <c r="B4" s="7" t="inlineStr">
        <is>
          <t>Dashboard</t>
        </is>
      </c>
    </row>
    <row r="5"/>
    <row r="7">
      <c r="B7" s="7" t="inlineStr">
        <is>
          <t>إدخال فاتورة</t>
        </is>
      </c>
    </row>
    <row r="8"/>
    <row r="10">
      <c r="B10" s="7" t="inlineStr">
        <is>
          <t>المبيعات</t>
        </is>
      </c>
    </row>
    <row r="11"/>
    <row r="13">
      <c r="B13" s="7" t="inlineStr">
        <is>
          <t>العملاء</t>
        </is>
      </c>
    </row>
    <row r="14"/>
    <row r="16">
      <c r="B16" s="7" t="inlineStr">
        <is>
          <t>المشاريع</t>
        </is>
      </c>
    </row>
    <row r="17"/>
    <row r="19">
      <c r="B19" s="7" t="inlineStr">
        <is>
          <t>المصروفات</t>
        </is>
      </c>
    </row>
    <row r="20"/>
    <row r="22">
      <c r="B22" s="4" t="inlineStr">
        <is>
          <t>التقارير</t>
        </is>
      </c>
    </row>
    <row r="23"/>
    <row r="25">
      <c r="B25" s="7" t="inlineStr">
        <is>
          <t>البحث</t>
        </is>
      </c>
    </row>
    <row r="26"/>
    <row r="28">
      <c r="B28" s="7" t="inlineStr">
        <is>
          <t>الإعدادات</t>
        </is>
      </c>
    </row>
    <row r="29"/>
  </sheetData>
  <mergeCells count="10">
    <mergeCell ref="B4:B5"/>
    <mergeCell ref="B13:B14"/>
    <mergeCell ref="B22:B23"/>
    <mergeCell ref="B7:B8"/>
    <mergeCell ref="B25:B26"/>
    <mergeCell ref="B1:B2"/>
    <mergeCell ref="B16:B17"/>
    <mergeCell ref="B10:B11"/>
    <mergeCell ref="B28:B29"/>
    <mergeCell ref="B19:B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E29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B1" s="1" t="inlineStr">
        <is>
          <t>ERP</t>
        </is>
      </c>
    </row>
    <row r="2">
      <c r="D2" s="2" t="inlineStr">
        <is>
          <t>البحث</t>
        </is>
      </c>
    </row>
    <row r="4">
      <c r="B4" s="7" t="inlineStr">
        <is>
          <t>Dashboard</t>
        </is>
      </c>
      <c r="D4" s="11" t="inlineStr">
        <is>
          <t>رقم الفاتورة أو اسم العميل</t>
        </is>
      </c>
      <c r="E4" s="16" t="inlineStr"/>
    </row>
    <row r="5"/>
    <row r="6">
      <c r="D6" s="15" t="inlineStr">
        <is>
          <t>حالة المطابقة</t>
        </is>
      </c>
      <c r="E6" s="6">
        <f>IF(E4="","أدخل قيمة بحث",IF(COUNTIF(المبيعات!A:A,E4)+COUNTIF(المبيعات!D:D,E4)&gt;0,"تم العثور على نتيجة","لا توجد نتيجة"))</f>
        <v/>
      </c>
    </row>
    <row r="7">
      <c r="B7" s="7" t="inlineStr">
        <is>
          <t>إدخال فاتورة</t>
        </is>
      </c>
      <c r="D7" s="15" t="inlineStr">
        <is>
          <t>التاريخ</t>
        </is>
      </c>
      <c r="E7" s="6">
        <f>IFERROR(INDEX(المبيعات!B:B,MATCH(E4,المبيعات!A:A,0)),IFERROR(INDEX(المبيعات!B:B,MATCH(E4,المبيعات!D:D,0)),""))</f>
        <v/>
      </c>
    </row>
    <row r="8">
      <c r="D8" s="15" t="inlineStr">
        <is>
          <t>العميل</t>
        </is>
      </c>
      <c r="E8" s="6">
        <f>IFERROR(INDEX(المبيعات!D:D,MATCH(E4,المبيعات!A:A,0)),IFERROR(INDEX(المبيعات!D:D,MATCH(E4,المبيعات!D:D,0)),""))</f>
        <v/>
      </c>
    </row>
    <row r="9">
      <c r="D9" s="15" t="inlineStr">
        <is>
          <t>المشروع</t>
        </is>
      </c>
      <c r="E9" s="6">
        <f>IFERROR(INDEX(المبيعات!E:E,MATCH(E4,المبيعات!A:A,0)),IFERROR(INDEX(المبيعات!E:E,MATCH(E4,المبيعات!D:D,0)),""))</f>
        <v/>
      </c>
    </row>
    <row r="10">
      <c r="B10" s="7" t="inlineStr">
        <is>
          <t>المبيعات</t>
        </is>
      </c>
      <c r="D10" s="15" t="inlineStr">
        <is>
          <t>الإجمالي</t>
        </is>
      </c>
      <c r="E10" s="6">
        <f>IFERROR(INDEX(المبيعات!K:K,MATCH(E4,المبيعات!A:A,0)),IFERROR(INDEX(المبيعات!K:K,MATCH(E4,المبيعات!D:D,0)),0))</f>
        <v/>
      </c>
    </row>
    <row r="11">
      <c r="D11" s="15" t="inlineStr">
        <is>
          <t>الحالة</t>
        </is>
      </c>
      <c r="E11" s="6">
        <f>IFERROR(INDEX(المبيعات!L:L,MATCH(E4,المبيعات!A:A,0)),IFERROR(INDEX(المبيعات!L:L,MATCH(E4,المبيعات!D:D,0)),""))</f>
        <v/>
      </c>
    </row>
    <row r="13">
      <c r="B13" s="7" t="inlineStr">
        <is>
          <t>العملاء</t>
        </is>
      </c>
    </row>
    <row r="14"/>
    <row r="16">
      <c r="B16" s="7" t="inlineStr">
        <is>
          <t>المشاريع</t>
        </is>
      </c>
    </row>
    <row r="17"/>
    <row r="19">
      <c r="B19" s="7" t="inlineStr">
        <is>
          <t>المصروفات</t>
        </is>
      </c>
    </row>
    <row r="20"/>
    <row r="22">
      <c r="B22" s="7" t="inlineStr">
        <is>
          <t>التقارير</t>
        </is>
      </c>
    </row>
    <row r="23"/>
    <row r="25">
      <c r="B25" s="4" t="inlineStr">
        <is>
          <t>البحث</t>
        </is>
      </c>
    </row>
    <row r="26"/>
    <row r="28">
      <c r="B28" s="7" t="inlineStr">
        <is>
          <t>الإعدادات</t>
        </is>
      </c>
    </row>
    <row r="29"/>
  </sheetData>
  <mergeCells count="10">
    <mergeCell ref="B4:B5"/>
    <mergeCell ref="B13:B14"/>
    <mergeCell ref="B22:B23"/>
    <mergeCell ref="B7:B8"/>
    <mergeCell ref="B25:B26"/>
    <mergeCell ref="B1:B2"/>
    <mergeCell ref="B16:B17"/>
    <mergeCell ref="B10:B11"/>
    <mergeCell ref="B28:B29"/>
    <mergeCell ref="B19:B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E29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B1" s="1" t="inlineStr">
        <is>
          <t>ERP</t>
        </is>
      </c>
    </row>
    <row r="2">
      <c r="D2" s="2" t="inlineStr">
        <is>
          <t>إعدادات النظام</t>
        </is>
      </c>
    </row>
    <row r="4">
      <c r="B4" s="7" t="inlineStr">
        <is>
          <t>Dashboard</t>
        </is>
      </c>
      <c r="D4" s="13" t="inlineStr">
        <is>
          <t>اسم الشركة</t>
        </is>
      </c>
      <c r="E4" s="16" t="inlineStr">
        <is>
          <t>أسس الأسطول</t>
        </is>
      </c>
    </row>
    <row r="5">
      <c r="D5" s="13" t="inlineStr">
        <is>
          <t>ضريبة القيمة المضافة</t>
        </is>
      </c>
      <c r="E5" s="19" t="n">
        <v>0.15</v>
      </c>
    </row>
    <row r="6">
      <c r="D6" s="13" t="inlineStr">
        <is>
          <t>عملة النظام</t>
        </is>
      </c>
      <c r="E6" s="16" t="inlineStr">
        <is>
          <t>ر.س</t>
        </is>
      </c>
    </row>
    <row r="7">
      <c r="B7" s="7" t="inlineStr">
        <is>
          <t>إدخال فاتورة</t>
        </is>
      </c>
      <c r="D7" s="13" t="inlineStr">
        <is>
          <t>آخر رقم فاتورة</t>
        </is>
      </c>
      <c r="E7" s="16" t="n">
        <v>1005</v>
      </c>
    </row>
    <row r="8"/>
    <row r="10">
      <c r="B10" s="7" t="inlineStr">
        <is>
          <t>المبيعات</t>
        </is>
      </c>
    </row>
    <row r="11"/>
    <row r="13">
      <c r="B13" s="7" t="inlineStr">
        <is>
          <t>العملاء</t>
        </is>
      </c>
    </row>
    <row r="14"/>
    <row r="16">
      <c r="B16" s="7" t="inlineStr">
        <is>
          <t>المشاريع</t>
        </is>
      </c>
    </row>
    <row r="17"/>
    <row r="19">
      <c r="B19" s="7" t="inlineStr">
        <is>
          <t>المصروفات</t>
        </is>
      </c>
    </row>
    <row r="20"/>
    <row r="22">
      <c r="B22" s="7" t="inlineStr">
        <is>
          <t>التقارير</t>
        </is>
      </c>
    </row>
    <row r="23"/>
    <row r="25">
      <c r="B25" s="7" t="inlineStr">
        <is>
          <t>البحث</t>
        </is>
      </c>
    </row>
    <row r="26"/>
    <row r="28">
      <c r="B28" s="4" t="inlineStr">
        <is>
          <t>الإعدادات</t>
        </is>
      </c>
    </row>
    <row r="29"/>
  </sheetData>
  <mergeCells count="10">
    <mergeCell ref="B4:B5"/>
    <mergeCell ref="B13:B14"/>
    <mergeCell ref="B22:B23"/>
    <mergeCell ref="B7:B8"/>
    <mergeCell ref="B25:B26"/>
    <mergeCell ref="B1:B2"/>
    <mergeCell ref="B16:B17"/>
    <mergeCell ref="B10:B11"/>
    <mergeCell ref="B28:B29"/>
    <mergeCell ref="B19:B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E4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2">
      <c r="A2" s="2" t="inlineStr">
        <is>
          <t>أرشيف PDF</t>
        </is>
      </c>
    </row>
    <row r="4">
      <c r="A4" s="12" t="inlineStr">
        <is>
          <t>رقم الفاتورة</t>
        </is>
      </c>
      <c r="B4" s="12" t="inlineStr">
        <is>
          <t>التاريخ</t>
        </is>
      </c>
      <c r="C4" s="12" t="inlineStr">
        <is>
          <t>العميل</t>
        </is>
      </c>
      <c r="D4" s="12" t="inlineStr">
        <is>
          <t>الإجمالي</t>
        </is>
      </c>
      <c r="E4" s="12" t="inlineStr">
        <is>
          <t>رابط PDF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D29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B1" s="1" t="inlineStr">
        <is>
          <t>ERP</t>
        </is>
      </c>
    </row>
    <row r="2">
      <c r="D2" s="2" t="inlineStr">
        <is>
          <t>الحزمة النهائية</t>
        </is>
      </c>
    </row>
    <row r="4">
      <c r="B4" s="7" t="inlineStr">
        <is>
          <t>Dashboard</t>
        </is>
      </c>
      <c r="D4" s="11" t="inlineStr">
        <is>
          <t>1) ارفع ملف ERP_v10_GoogleSheets_Ready.xlsx إلى Google Drive</t>
        </is>
      </c>
    </row>
    <row r="5">
      <c r="D5" s="11" t="inlineStr">
        <is>
          <t>2) افتحه باستخدام Google Sheets</t>
        </is>
      </c>
    </row>
    <row r="6">
      <c r="D6" s="11" t="inlineStr">
        <is>
          <t>3) افتح Extensions &gt; Apps Script</t>
        </is>
      </c>
    </row>
    <row r="7">
      <c r="B7" s="7" t="inlineStr">
        <is>
          <t>إدخال فاتورة</t>
        </is>
      </c>
      <c r="D7" s="11" t="inlineStr">
        <is>
          <t>4) الصق محتوى Code.gs المرفق في الحزمة</t>
        </is>
      </c>
    </row>
    <row r="8">
      <c r="D8" s="11" t="inlineStr">
        <is>
          <t>5) احفظ السكربت - سيظهر Menu باسم ERP</t>
        </is>
      </c>
    </row>
    <row r="9">
      <c r="D9" s="11" t="inlineStr">
        <is>
          <t>6) استخدم القائمة ERP للتنقل وحفظ الفاتورة</t>
        </is>
      </c>
    </row>
    <row r="10">
      <c r="B10" s="7" t="inlineStr">
        <is>
          <t>المبيعات</t>
        </is>
      </c>
    </row>
    <row r="11"/>
    <row r="13">
      <c r="B13" s="7" t="inlineStr">
        <is>
          <t>العملاء</t>
        </is>
      </c>
    </row>
    <row r="14"/>
    <row r="16">
      <c r="B16" s="7" t="inlineStr">
        <is>
          <t>المشاريع</t>
        </is>
      </c>
    </row>
    <row r="17"/>
    <row r="19">
      <c r="B19" s="7" t="inlineStr">
        <is>
          <t>المصروفات</t>
        </is>
      </c>
    </row>
    <row r="20"/>
    <row r="22">
      <c r="B22" s="7" t="inlineStr">
        <is>
          <t>التقارير</t>
        </is>
      </c>
    </row>
    <row r="23"/>
    <row r="25">
      <c r="B25" s="7" t="inlineStr">
        <is>
          <t>البحث</t>
        </is>
      </c>
    </row>
    <row r="26"/>
    <row r="28">
      <c r="B28" s="7" t="inlineStr">
        <is>
          <t>الإعدادات</t>
        </is>
      </c>
    </row>
    <row r="29"/>
  </sheetData>
  <mergeCells count="10">
    <mergeCell ref="B4:B5"/>
    <mergeCell ref="B13:B14"/>
    <mergeCell ref="B22:B23"/>
    <mergeCell ref="B7:B8"/>
    <mergeCell ref="B25:B26"/>
    <mergeCell ref="B1:B2"/>
    <mergeCell ref="B16:B17"/>
    <mergeCell ref="B10:B11"/>
    <mergeCell ref="B28:B29"/>
    <mergeCell ref="B19:B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L7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2">
      <c r="A2" t="inlineStr">
        <is>
          <t>إجمالي المبيعات</t>
        </is>
      </c>
      <c r="B2">
        <f>SUM(المبيعات!K5:K1000)</f>
        <v/>
      </c>
      <c r="D2" t="inlineStr">
        <is>
          <t>2026-01</t>
        </is>
      </c>
      <c r="E2">
        <f>SUMIF(المبيعات!C:C,D2,المبيعات!K:K)</f>
        <v/>
      </c>
      <c r="F2">
        <f>SUMIF(المصروفات!B:B,D2,المصروفات!E:E)</f>
        <v/>
      </c>
      <c r="H2" t="inlineStr">
        <is>
          <t>مدفوع</t>
        </is>
      </c>
      <c r="I2">
        <f>COUNTIF(المبيعات!L:L,H2)</f>
        <v/>
      </c>
      <c r="K2">
        <f>العملاء!B5</f>
        <v/>
      </c>
      <c r="L2">
        <f>SUMIF(المبيعات!D:D,K2,المبيعات!K:K)</f>
        <v/>
      </c>
    </row>
    <row r="3">
      <c r="A3" t="inlineStr">
        <is>
          <t>إجمالي المصروفات</t>
        </is>
      </c>
      <c r="B3">
        <f>SUM(المصروفات!E5:E1000)</f>
        <v/>
      </c>
      <c r="D3" t="inlineStr">
        <is>
          <t>2026-02</t>
        </is>
      </c>
      <c r="E3">
        <f>SUMIF(المبيعات!C:C,D3,المبيعات!K:K)</f>
        <v/>
      </c>
      <c r="F3">
        <f>SUMIF(المصروفات!B:B,D3,المصروفات!E:E)</f>
        <v/>
      </c>
      <c r="H3" t="inlineStr">
        <is>
          <t>غير مدفوع</t>
        </is>
      </c>
      <c r="I3">
        <f>COUNTIF(المبيعات!L:L,H3)</f>
        <v/>
      </c>
      <c r="K3">
        <f>العملاء!B6</f>
        <v/>
      </c>
      <c r="L3">
        <f>SUMIF(المبيعات!D:D,K3,المبيعات!K:K)</f>
        <v/>
      </c>
    </row>
    <row r="4">
      <c r="A4" t="inlineStr">
        <is>
          <t>صافي الربح</t>
        </is>
      </c>
      <c r="B4">
        <f>B2-B3</f>
        <v/>
      </c>
      <c r="D4" t="inlineStr">
        <is>
          <t>2026-03</t>
        </is>
      </c>
      <c r="E4">
        <f>SUMIF(المبيعات!C:C,D4,المبيعات!K:K)</f>
        <v/>
      </c>
      <c r="F4">
        <f>SUMIF(المصروفات!B:B,D4,المصروفات!E:E)</f>
        <v/>
      </c>
      <c r="H4" t="inlineStr">
        <is>
          <t>ملغي</t>
        </is>
      </c>
      <c r="I4">
        <f>COUNTIF(المبيعات!L:L,H4)</f>
        <v/>
      </c>
      <c r="K4">
        <f>العملاء!B7</f>
        <v/>
      </c>
      <c r="L4">
        <f>SUMIF(المبيعات!D:D,K4,المبيعات!K:K)</f>
        <v/>
      </c>
    </row>
    <row r="5">
      <c r="A5" t="inlineStr">
        <is>
          <t>عدد الفواتير</t>
        </is>
      </c>
      <c r="B5">
        <f>COUNTIF(المبيعات!A5:A1000,"&lt;&gt;")</f>
        <v/>
      </c>
      <c r="D5" t="inlineStr">
        <is>
          <t>2026-04</t>
        </is>
      </c>
      <c r="E5">
        <f>SUMIF(المبيعات!C:C,D5,المبيعات!K:K)</f>
        <v/>
      </c>
      <c r="F5">
        <f>SUMIF(المصروفات!B:B,D5,المصروفات!E:E)</f>
        <v/>
      </c>
    </row>
    <row r="6">
      <c r="A6" t="inlineStr">
        <is>
          <t>عدد العملاء</t>
        </is>
      </c>
      <c r="B6">
        <f>COUNTIF(العملاء!A5:A1000,"&lt;&gt;")</f>
        <v/>
      </c>
      <c r="D6" t="inlineStr">
        <is>
          <t>2026-05</t>
        </is>
      </c>
      <c r="E6">
        <f>SUMIF(المبيعات!C:C,D6,المبيعات!K:K)</f>
        <v/>
      </c>
      <c r="F6">
        <f>SUMIF(المصروفات!B:B,D6,المصروفات!E:E)</f>
        <v/>
      </c>
    </row>
    <row r="7">
      <c r="A7" t="inlineStr">
        <is>
          <t>فواتير غير مدفوعة</t>
        </is>
      </c>
      <c r="B7">
        <f>COUNTIF(المبيعات!L5:L1000,"غير مدفوع")</f>
        <v/>
      </c>
      <c r="D7" t="inlineStr">
        <is>
          <t>2026-06</t>
        </is>
      </c>
      <c r="E7">
        <f>SUMIF(المبيعات!C:C,D7,المبيعات!K:K)</f>
        <v/>
      </c>
      <c r="F7">
        <f>SUMIF(المصروفات!B:B,D7,المصروفات!E:E)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2026-03-08T01:37:06Z</dcterms:created>
  <dcterms:modified xmlns:dcterms="http://purl.org/dc/terms/" xmlns:xsi="http://www.w3.org/2001/XMLSchema-instance" xsi:type="dcterms:W3CDTF">2026-03-08T01:37:06Z</dcterms:modified>
</cp:coreProperties>
</file>